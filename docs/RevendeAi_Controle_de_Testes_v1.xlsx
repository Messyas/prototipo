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Casos de Teste" sheetId="2" r:id="rId5"/>
    <sheet state="visible" name="Bugs e Gaps" sheetId="3" r:id="rId6"/>
  </sheets>
  <definedNames>
    <definedName hidden="1" localSheetId="1" name="_xlnm._FilterDatabase">'Casos de Teste'!$A$3:$N$118</definedName>
  </definedNames>
  <calcPr/>
  <extLst>
    <ext uri="GoogleSheetsCustomDataVersion2">
      <go:sheetsCustomData xmlns:go="http://customooxmlschemas.google.com/" r:id="rId7" roundtripDataChecksum="ToB/7pzofrtua97H3I2JH43ejlQgxGOns+qDazrC+I0="/>
    </ext>
  </extLst>
</workbook>
</file>

<file path=xl/sharedStrings.xml><?xml version="1.0" encoding="utf-8"?>
<sst xmlns="http://schemas.openxmlformats.org/spreadsheetml/2006/main" count="1418" uniqueCount="633">
  <si>
    <t>Casos de Teste</t>
  </si>
  <si>
    <t>Bugs e Gaps</t>
  </si>
  <si>
    <t>Consolidação objetiva dos problemas já encontrados. Use em conjunto com o campo “Bug/Gap relacionado” da aba Casos de Teste.</t>
  </si>
  <si>
    <t>Tudo em uma aba: casos funcionais + responsividade. Resultado da execução fica direto em “Resultado obtido”.</t>
  </si>
  <si>
    <t>ID</t>
  </si>
  <si>
    <t>Tipo</t>
  </si>
  <si>
    <t>Área</t>
  </si>
  <si>
    <t>Resumo</t>
  </si>
  <si>
    <t>Casos impactados</t>
  </si>
  <si>
    <t>Severidade</t>
  </si>
  <si>
    <t>Prioridade</t>
  </si>
  <si>
    <t>Responsável</t>
  </si>
  <si>
    <t>Tipo de teste</t>
  </si>
  <si>
    <t>Status</t>
  </si>
  <si>
    <t>Comportamento observado</t>
  </si>
  <si>
    <t>Esperado / Próximo passo</t>
  </si>
  <si>
    <t>BUG-001</t>
  </si>
  <si>
    <t>Defeito / UX / Performance</t>
  </si>
  <si>
    <t>Fluxo</t>
  </si>
  <si>
    <t>Autenticação e inicialização</t>
  </si>
  <si>
    <t>Inicialização sem feedback adequado</t>
  </si>
  <si>
    <t>A01</t>
  </si>
  <si>
    <t>Passos principais</t>
  </si>
  <si>
    <t>Resultado esperado</t>
  </si>
  <si>
    <t>Alta</t>
  </si>
  <si>
    <t>P1</t>
  </si>
  <si>
    <t>Lucas</t>
  </si>
  <si>
    <t>Aberto</t>
  </si>
  <si>
    <t>Data execução</t>
  </si>
  <si>
    <t>Splash não aparece ao iniciar sem sessão e há tela preta prolongada antes do Login.</t>
  </si>
  <si>
    <t>Esperado: feedback visual imediato durante a inicialização. A sugestão registrada é usar logo + animação/transição + indicador de carregamento enquanto o bootstrap termina. | Validar tempo de bootstrap, primeira frame e estratégia de splash nativo; eliminar tela preta.</t>
  </si>
  <si>
    <t>Dispositivo / tela</t>
  </si>
  <si>
    <t>BUG-002</t>
  </si>
  <si>
    <t>Defeito / Performance / UX</t>
  </si>
  <si>
    <t>Resultado obtido</t>
  </si>
  <si>
    <t>Transições e teclado com travamentos</t>
  </si>
  <si>
    <t>A02</t>
  </si>
  <si>
    <t>Bug/Gap relacionado</t>
  </si>
  <si>
    <t>Observações</t>
  </si>
  <si>
    <t>Transição Login → Dashboard e outras animações parecem duras; teclado demora a abrir e trava.</t>
  </si>
  <si>
    <t>Esperado: navegação e entrada de texto fluidas, sem frames perdidos perceptíveis. | Medir jank/frame time, rebuilds, animações, carregamento simultâneo e custo de abertura do teclado.</t>
  </si>
  <si>
    <t>BUG-003</t>
  </si>
  <si>
    <t>Defeito funcional</t>
  </si>
  <si>
    <t>Mensagem incorreta para credenciais inválidas</t>
  </si>
  <si>
    <t>A03</t>
  </si>
  <si>
    <t>Média</t>
  </si>
  <si>
    <t>Messyas</t>
  </si>
  <si>
    <t>Resolvido</t>
  </si>
  <si>
    <t>Funcional</t>
  </si>
  <si>
    <t>Senha incorreta gerou "Sua sessão expirou. Faça login novamente".</t>
  </si>
  <si>
    <t>Esperado: erro de credenciais inválidas, sem confundir com expiração de sessão. | Revisar mapeamento de HTTP 401/erros de autenticação e diferenciar login inválido de sessão expirada.</t>
  </si>
  <si>
    <t>BUG-004</t>
  </si>
  <si>
    <t>Defeito de navegação</t>
  </si>
  <si>
    <t>Logout retorna para rota anterior</t>
  </si>
  <si>
    <t>A11</t>
  </si>
  <si>
    <t>Splash</t>
  </si>
  <si>
    <t>Ao sair, o app pode retornar para a última tela antes do login; após cadastro, pode voltar para Cadastro.</t>
  </si>
  <si>
    <t>Esperado: limpar sessão e pilha/estado de navegação e abrir Login como nova raiz. | Resetar navigator/router após logout e impedir retorno para rotas autenticadas ou etapas antigas.</t>
  </si>
  <si>
    <t>Abrir o app sem sessão salva</t>
  </si>
  <si>
    <t>GAP-005</t>
  </si>
  <si>
    <t>Gap de produto / Dados</t>
  </si>
  <si>
    <t>Clientes</t>
  </si>
  <si>
    <t>Splash aparece brevemente e abre Login</t>
  </si>
  <si>
    <t>Cadastro de cliente sem endereço suficiente</t>
  </si>
  <si>
    <t>C06, C09</t>
  </si>
  <si>
    <t>Ademar</t>
  </si>
  <si>
    <t>Faltam dados de endereço importantes para entrega. Dois telefones parecem excessivos; WhatsApp deveria ser o contato principal.</t>
  </si>
  <si>
    <t>Necessidade: permitir dados de entrega e revisar modelo de contatos conforme fluxo real da revendedora. | Definir campos mínimos de endereço, opcionalidade, validação e impacto offline/LGPD antes de implementar.</t>
  </si>
  <si>
    <t>BUG-006</t>
  </si>
  <si>
    <t>Defeito funcional / UI</t>
  </si>
  <si>
    <t>Produtos e estoque</t>
  </si>
  <si>
    <t>Imagem cadastrada não aparece no catálogo</t>
  </si>
  <si>
    <t>P01, P06</t>
  </si>
  <si>
    <t>P2</t>
  </si>
  <si>
    <t>Cadastro pede URL de imagem, porém a imagem não é exibida na listagem de produtos.</t>
  </si>
  <si>
    <t>FALHA</t>
  </si>
  <si>
    <t>Esperado: imagem válida cadastrada deve ser renderizada ou o campo deve ser removido/substituído por upload. | Validar contrato da API, fallback, cache e estratégia de upload/URL.</t>
  </si>
  <si>
    <t>BUG-007</t>
  </si>
  <si>
    <t>Defeito visual</t>
  </si>
  <si>
    <t>Pagamentos</t>
  </si>
  <si>
    <t>Indicador visual estranho na forma de pagamento</t>
  </si>
  <si>
    <t>F04</t>
  </si>
  <si>
    <t>Baixa</t>
  </si>
  <si>
    <t>P3</t>
  </si>
  <si>
    <t>Na etapa de pagamento, a opção selecionada exibe um símbolo de OK sobreposto de forma estranha.</t>
  </si>
  <si>
    <t>Esperado: estado selecionado claro, consistente e sem sobreposição. | Revisar componente de seleção, constraints e estados selected/focus/pressed.</t>
  </si>
  <si>
    <t>GAP-008</t>
  </si>
  <si>
    <t>Gap de produto / UX</t>
  </si>
  <si>
    <t>Vendas</t>
  </si>
  <si>
    <t>Desconto somente em valor monetário</t>
  </si>
  <si>
    <t>V09, V10</t>
  </si>
  <si>
    <t>Celular Redmi Note 12 / 393 × 873</t>
  </si>
  <si>
    <t>Splash não abriu ao iniciar o app sem sessão e houve uma tela preta prolongada antes do login.</t>
  </si>
  <si>
    <t>Desconto é informado apenas em valor monetário direto.</t>
  </si>
  <si>
    <t>Sugestão: suportar percentual e valor, priorizando percentual na interface e mantendo cálculo explícito no resumo. | Definir regra de negócio, arredondamento, limites e persistência do tipo de desconto.</t>
  </si>
  <si>
    <t>BUG-009</t>
  </si>
  <si>
    <t>Defeito responsivo / Android</t>
  </si>
  <si>
    <t>Responsividade e dispositivos</t>
  </si>
  <si>
    <t>Conteúdo conflita com navegação do sistema Android</t>
  </si>
  <si>
    <t>A02, C06, P06, V10, F04, R06, S10</t>
  </si>
  <si>
    <t>Telas ignoram a área do menu inferior do Android; camada escura aparece sobre botões.</t>
  </si>
  <si>
    <t>Esperado: respeitar system insets/SafeArea e comportamento edge-to-edge de forma consistente. | Aplicar solução centralizada de SafeArea/WindowInsets e testar gestos vs. navegação de 3 botões.</t>
  </si>
  <si>
    <t>GAP-010</t>
  </si>
  <si>
    <t>Lembretes e WhatsApp</t>
  </si>
  <si>
    <t>Lembrete sugerido pós-venda é pouco útil</t>
  </si>
  <si>
    <t>V12, R08</t>
  </si>
  <si>
    <t>Login válido</t>
  </si>
  <si>
    <t>Mensagem sugerida não resume bem a venda; data de cobrança inicia no mesmo dia; título poderia incluir cliente e referência interna não editável da venda.</t>
  </si>
  <si>
    <t>Informar e-mail e senha demo</t>
  </si>
  <si>
    <t>Necessidade: gerar sugestão útil com cliente, itens/total/dados relevantes, vencimento padrão futuro e vínculo interno pesquisável. | Definir template, prazo padrão configurável, referência interna e quais dados podem ir ao WhatsApp.</t>
  </si>
  <si>
    <t>BUG-011</t>
  </si>
  <si>
    <t>Defeito de consistência / Performance</t>
  </si>
  <si>
    <t>Dashboard é carregado</t>
  </si>
  <si>
    <t>Estoque demora a refletir venda concluída</t>
  </si>
  <si>
    <t>V10, P10, D02</t>
  </si>
  <si>
    <t>Após cadastrar uma venda, o estoque antigo ainda aparece; o novo valor surge apenas após navegar por outras telas e voltar.</t>
  </si>
  <si>
    <t>Esperado: atualização imediata e consistente após confirmação da venda. | Revisar invalidação de cache/estado, refresh pós-mutação, optimistic update e fonte de verdade.</t>
  </si>
  <si>
    <t>GAP-012</t>
  </si>
  <si>
    <t>Melhoria de UX</t>
  </si>
  <si>
    <t>Experiência transversal</t>
  </si>
  <si>
    <t>Feedback háptico e sonoro ausente</t>
  </si>
  <si>
    <t>Transversal</t>
  </si>
  <si>
    <t>Ações importantes não possuem vibração/haptics, sons ou feedback diferenciado.</t>
  </si>
  <si>
    <t>Sugestão: criar linguagem de feedback por tipo de evento, com acessibilidade e opção de desativar. | Mapear eventos críticos e usar haptics com parcimônia; não depender apenas de som/vibração.</t>
  </si>
  <si>
    <t>GAP-013</t>
  </si>
  <si>
    <t>Melhoria de navegação / UX</t>
  </si>
  <si>
    <t>Menu inferior poderia ser flutuante e reativo ao scroll</t>
  </si>
  <si>
    <t>Login chega ao Dashboard, mas a transição é dura; outras animações também parecem travadas. Teclado demora a abrir e apresenta travamentos.</t>
  </si>
  <si>
    <t>Foi sugerido substituir o menu inferior atual por versão flutuante que se oculta ao rolar para baixo e reaparece ao rolar para cima.</t>
  </si>
  <si>
    <t>Sugestão: validar usabilidade antes de substituir o padrão atual; manter acesso previsível às áreas principais. | Prototipar, medir ganho de área útil e validar acessibilidade/descoberta antes de aplicar globalmente.</t>
  </si>
  <si>
    <t>RevendeAí • planilha simplificada para organização de testes</t>
  </si>
  <si>
    <t>Login inválido</t>
  </si>
  <si>
    <t>Informar senha incorreta</t>
  </si>
  <si>
    <t>Erro amigável, sem travar a tela</t>
  </si>
  <si>
    <t>Foi exibido "Sua sessão expirou. Faça login novamente" em vez de mensagem relacionada a credenciais incorretas.</t>
  </si>
  <si>
    <t>A04</t>
  </si>
  <si>
    <t>Validação de login</t>
  </si>
  <si>
    <t>Enviar campos vazios, e-mail inválido e senha curta</t>
  </si>
  <si>
    <t>Validação aparece nos campos</t>
  </si>
  <si>
    <t>OK</t>
  </si>
  <si>
    <t>Avisos de validação/login inválido apareceram normalmente.</t>
  </si>
  <si>
    <t>RevendeAí — Controle de Testes</t>
  </si>
  <si>
    <t>A05</t>
  </si>
  <si>
    <t>Cadastro</t>
  </si>
  <si>
    <t>Abrir “Criar conta”, preencher dados válidos e enviar</t>
  </si>
  <si>
    <t>Conta é criada e sessão iniciada</t>
  </si>
  <si>
    <t>Versão simplificada: execução no próprio caso de teste, responsividade unificada e ambiente resumido.</t>
  </si>
  <si>
    <t>Cadastro concluído, sessão iniciada, boas-vindas exibidas e encaminhamento para a tela inicial realizado.</t>
  </si>
  <si>
    <t>Indicador</t>
  </si>
  <si>
    <t>A06</t>
  </si>
  <si>
    <t>Valor</t>
  </si>
  <si>
    <t>Cadastro duplicado</t>
  </si>
  <si>
    <t>Total de casos</t>
  </si>
  <si>
    <t>Cadastrar e-mail já existente</t>
  </si>
  <si>
    <t>Erro de duplicidade compreensível</t>
  </si>
  <si>
    <t>Aplicação avisou que já existe usuário com o e-mail informado.</t>
  </si>
  <si>
    <t>A07</t>
  </si>
  <si>
    <t>Casos funcionais</t>
  </si>
  <si>
    <t>Recuperação</t>
  </si>
  <si>
    <t>Informar e-mail válido e enviar</t>
  </si>
  <si>
    <t>Confirmação genérica é exibida</t>
  </si>
  <si>
    <t>Falha</t>
  </si>
  <si>
    <t>Casos de responsividade</t>
  </si>
  <si>
    <t>Tela de recuperação de senha foi exibida normalmente.</t>
  </si>
  <si>
    <t>Bloqueado</t>
  </si>
  <si>
    <t>A08</t>
  </si>
  <si>
    <t>Executados</t>
  </si>
  <si>
    <t>Recuperação inválida</t>
  </si>
  <si>
    <t>Informar e-mail inexistente ou inválido</t>
  </si>
  <si>
    <t>Não revela se a conta existe</t>
  </si>
  <si>
    <t>Bugs/Gaps abertos</t>
  </si>
  <si>
    <t>Pendentes</t>
  </si>
  <si>
    <t>Aplicação informou o envio do e-mail de recuperação sem revelar existência da conta.</t>
  </si>
  <si>
    <t>Prioridade P1</t>
  </si>
  <si>
    <t>A09</t>
  </si>
  <si>
    <t>Cobertura</t>
  </si>
  <si>
    <t>Retorno ao login</t>
  </si>
  <si>
    <t>Usar voltar em cadastro, recuperação e confirmação</t>
  </si>
  <si>
    <t>Volta para a etapa anterior correta</t>
  </si>
  <si>
    <t>Retorno entre etapas funcionou normalmente.</t>
  </si>
  <si>
    <t>Responsável mais carregado</t>
  </si>
  <si>
    <t>A10</t>
  </si>
  <si>
    <t>Use filtros na aba Casos de Teste</t>
  </si>
  <si>
    <t>Dica: na aba “Casos de Teste”, filtre a coluna Tipo de teste = Responsividade para ver só os testes de tela/dispositivo.</t>
  </si>
  <si>
    <t>Sessão persistida</t>
  </si>
  <si>
    <t>Fechar e reabrir o app após login</t>
  </si>
  <si>
    <t>Sessão é restaurada sem novo login</t>
  </si>
  <si>
    <t>Ambiente de teste (resumo)</t>
  </si>
  <si>
    <t>Frontend</t>
  </si>
  <si>
    <t>Sessão persistiu após fechar e reabrir o app.</t>
  </si>
  <si>
    <t>http://localhost:5173</t>
  </si>
  <si>
    <t>API</t>
  </si>
  <si>
    <t>Encerramento</t>
  </si>
  <si>
    <t>http://localhost:8000/docs</t>
  </si>
  <si>
    <t>Abrir Configurações → Sair</t>
  </si>
  <si>
    <t>Sessão é removida e Login aparece</t>
  </si>
  <si>
    <t>Health</t>
  </si>
  <si>
    <t>http://localhost:8000/api/v1/health</t>
  </si>
  <si>
    <t>Usuário demo</t>
  </si>
  <si>
    <t>demo@crm-revendedora.local</t>
  </si>
  <si>
    <t>A sessão é encerrada, porém o app pode voltar para a última tela anterior ao login (ex.: cadastro) em vez de ir sempre para Login.</t>
  </si>
  <si>
    <t>Senha demo</t>
  </si>
  <si>
    <t>senha-demo-123</t>
  </si>
  <si>
    <t>D01</t>
  </si>
  <si>
    <t>Dashboard</t>
  </si>
  <si>
    <t>Carregamento</t>
  </si>
  <si>
    <t>Setup rápido</t>
  </si>
  <si>
    <t>bash ./scripts/init.sh | bash ./scripts/up.sh | bash ./scripts/migrate.sh | bash ./scripts/seed.sh</t>
  </si>
  <si>
    <t>Skeleton/loading aparece sem tela branca</t>
  </si>
  <si>
    <t>Android físico</t>
  </si>
  <si>
    <t>adb reverse tcp:8000 tcp:8000 | flutter run --dart-define-from-file=env.android.lan.json</t>
  </si>
  <si>
    <t>Não informado</t>
  </si>
  <si>
    <t>Carregamento do Dashboard funcionando.</t>
  </si>
  <si>
    <t>Telas para responsividade</t>
  </si>
  <si>
    <t>320 px (mobile pequeno) | 390 × 844 px (mobile referência) | 768 px (tablet)</t>
  </si>
  <si>
    <t>D02</t>
  </si>
  <si>
    <t>Métricas</t>
  </si>
  <si>
    <t>Total vendido, a receber, lucro e estoque carregam da API</t>
  </si>
  <si>
    <t>Computador / iPhone 16 Pro Max 440x956</t>
  </si>
  <si>
    <t>Estoque não está correspondendo ao que deveria.</t>
  </si>
  <si>
    <t>D03</t>
  </si>
  <si>
    <t>Gráficos</t>
  </si>
  <si>
    <t>Gráfico de vendas e categorias renderiza sem overflow</t>
  </si>
  <si>
    <t>Tudo parece ok. A única observação que notei é com relação ao estoque que não notifica quando algum produto está abaixo do nível ideal.</t>
  </si>
  <si>
    <t>D04</t>
  </si>
  <si>
    <t>Estoque baixo</t>
  </si>
  <si>
    <t>Lista mostra produtos abaixo do mínimo</t>
  </si>
  <si>
    <t>Não mostra. Ao clicar no card de estoque no dashboard ele também não direciona para essa tela de estoque.</t>
  </si>
  <si>
    <t>D05</t>
  </si>
  <si>
    <t>Pendências</t>
  </si>
  <si>
    <t>Vendas pendentes e lembretes do dia são exibidos</t>
  </si>
  <si>
    <t>O card no dashboard não exibe os lembretes pendentes. Também percebi que ao registrar um lembrete ele volta para a tela de venda concluída o que é meio desnecessário, poderia ir para a tela de venda.</t>
  </si>
  <si>
    <t>D06</t>
  </si>
  <si>
    <t>Ações rápidas</t>
  </si>
  <si>
    <t>“Nova venda” e “Novo cliente” abrem os fluxos corretos</t>
  </si>
  <si>
    <t>Eles abrem os fluxos corretos, mas precisa melhorar no quesito ui e ux.</t>
  </si>
  <si>
    <t>D07</t>
  </si>
  <si>
    <t>API indisponível</t>
  </si>
  <si>
    <t>Erro/offline aparece com ação de tentar novamente</t>
  </si>
  <si>
    <t>Não aparece nenhum aviso, apenas a tela de carregamento em loop. Precisa aprimorar a exibição da tela de carregamento também.</t>
  </si>
  <si>
    <t>C01</t>
  </si>
  <si>
    <t>Listagem</t>
  </si>
  <si>
    <t>Abrir Clientes</t>
  </si>
  <si>
    <t>Clientes da API aparecem</t>
  </si>
  <si>
    <t>Os clientes aparecem. Precisa adicionar a listagem com paginação.</t>
  </si>
  <si>
    <t>C02</t>
  </si>
  <si>
    <t>Estado vazio</t>
  </si>
  <si>
    <t>Usar conta sem clientes</t>
  </si>
  <si>
    <t>Estado vazio e botão de cadastro aparecem</t>
  </si>
  <si>
    <t>Tudo ok.</t>
  </si>
  <si>
    <t>C03</t>
  </si>
  <si>
    <t>Busca por nome</t>
  </si>
  <si>
    <t>Digitar nome e buscar</t>
  </si>
  <si>
    <t>Apenas clientes correspondentes aparecem</t>
  </si>
  <si>
    <t>Funciona, mas precisa melhorar. É necessário clicar em busca para realizar a busca por nome ao invés de ser em tempo real a cada caractere inputado no campo de busca. Não acho que é necessário ter o botão de busca também. Outra coisa é que ao pesquisar pelo nome fica confuso em como sair desse filtro.</t>
  </si>
  <si>
    <t>C04</t>
  </si>
  <si>
    <t>Busca por WhatsApp</t>
  </si>
  <si>
    <t>Selecionar WhatsApp, informar número e buscar</t>
  </si>
  <si>
    <t>Cliente correto aparece</t>
  </si>
  <si>
    <t>C05</t>
  </si>
  <si>
    <t>Busca sem resultado</t>
  </si>
  <si>
    <t>Informar termo inexistente</t>
  </si>
  <si>
    <t>Mensagem de nenhum resultado aparece</t>
  </si>
  <si>
    <t>Funciona, mas precisa aprimorar o aviso.</t>
  </si>
  <si>
    <t>C06</t>
  </si>
  <si>
    <t>Cadastro válido</t>
  </si>
  <si>
    <t>Criar cliente com nome e contato</t>
  </si>
  <si>
    <t>Cliente aparece na lista</t>
  </si>
  <si>
    <t>O cadastro de cliente funciona, mas há campos existentes e faltando com relação a documentação oficial. Será necessário reestruturar o banco, as APIs e também a tela.</t>
  </si>
  <si>
    <t>C07</t>
  </si>
  <si>
    <t>Validação</t>
  </si>
  <si>
    <t>Enviar nome vazio, telefone inválido ou dados incompletos</t>
  </si>
  <si>
    <t>Campos inválidos são destacados</t>
  </si>
  <si>
    <t>O único campo obrigatório atualmente é o nome, de resto é possível cadastrar com apenas isso. Este não é o comportamento correto.</t>
  </si>
  <si>
    <t>C08</t>
  </si>
  <si>
    <t>Duplicidade</t>
  </si>
  <si>
    <t>Repetir cadastro do mesmo cliente</t>
  </si>
  <si>
    <t>Erro ou aviso de duplicidade é exibido</t>
  </si>
  <si>
    <t>É possível cadastrar dois clientes com nomes e outros dados iguais. Acredito que o número de celular deveria ser único.</t>
  </si>
  <si>
    <t>C09</t>
  </si>
  <si>
    <t>Edição</t>
  </si>
  <si>
    <t>Abrir detalhe, editar e salvar</t>
  </si>
  <si>
    <t>Dados atualizados na API e na lista</t>
  </si>
  <si>
    <t>Exibir os detalhes do cliente funciona, mas a edição falhou. Na verdade, funciona, mas o que ocorre é que passando um tempo logado o usuário não consegue mais executar esse tipo de ação o que é meio confuso.</t>
  </si>
  <si>
    <t>C10</t>
  </si>
  <si>
    <t>Exclusão</t>
  </si>
  <si>
    <t>Abrir detalhe, excluir e confirmar</t>
  </si>
  <si>
    <t>Cliente sai da lista após confirmação</t>
  </si>
  <si>
    <t>Exibir os detalhes do cliente funciona, mas a exclusão falhou. Na verdade, funciona, mas o que ocorre é que passando um tempo logado o usuário não consegue mais executar esse tipo de ação o que é meio confuso.</t>
  </si>
  <si>
    <t>C11</t>
  </si>
  <si>
    <t>Cancelar exclusão</t>
  </si>
  <si>
    <t>Iniciar exclusão e cancelar</t>
  </si>
  <si>
    <t>Cliente permanece intacto</t>
  </si>
  <si>
    <t>Cancelar exclusão funciona.</t>
  </si>
  <si>
    <t>C12</t>
  </si>
  <si>
    <t>Histórico</t>
  </si>
  <si>
    <t>Abrir histórico de vendas do cliente</t>
  </si>
  <si>
    <t>Somente vendas daquele cliente aparecem</t>
  </si>
  <si>
    <t>Funciona, mas é insuficiente. Precisa exibir mais detalhes do que somente as vendas cruas realizadas. Deveria destacar coisas importantes como as concluídas, canceladas ou não pagas.</t>
  </si>
  <si>
    <t>C13</t>
  </si>
  <si>
    <t>Venda relacionada</t>
  </si>
  <si>
    <t>Abrir uma venda do histórico</t>
  </si>
  <si>
    <t>Detalhe da venda é carregado</t>
  </si>
  <si>
    <t>Os detalhes da venda abrem normalmente.</t>
  </si>
  <si>
    <t>P01</t>
  </si>
  <si>
    <t>Abrir Produtos</t>
  </si>
  <si>
    <t>Catálogo da API aparece</t>
  </si>
  <si>
    <t>Os produtos aparecem. Precisa adicionar a listagem com paginação.</t>
  </si>
  <si>
    <t>P02</t>
  </si>
  <si>
    <t>Usar conta sem produtos</t>
  </si>
  <si>
    <t>Funciona.</t>
  </si>
  <si>
    <t>P03</t>
  </si>
  <si>
    <t>Busca</t>
  </si>
  <si>
    <t>Buscar produto por nome</t>
  </si>
  <si>
    <t>Resultado correto aparece</t>
  </si>
  <si>
    <t>Mesma coisa do cliente.</t>
  </si>
  <si>
    <t>P04</t>
  </si>
  <si>
    <t>Sem resultado</t>
  </si>
  <si>
    <t>Buscar produto inexistente</t>
  </si>
  <si>
    <t>P05</t>
  </si>
  <si>
    <t>Filtro estoque baixo</t>
  </si>
  <si>
    <t>Ativar filtro de estoque baixo</t>
  </si>
  <si>
    <t>Apenas produtos abaixo do mínimo aparecem</t>
  </si>
  <si>
    <t>P06</t>
  </si>
  <si>
    <t>Criar produto com preços, estoque e mínimo</t>
  </si>
  <si>
    <t>Produto aparece no catálogo</t>
  </si>
  <si>
    <t>Funciona. Talvez seja o mesmo caso do cliente com relação a nova documentação.</t>
  </si>
  <si>
    <t>P07</t>
  </si>
  <si>
    <t>Usar preço inválido, estoque negativo ou nome vazio</t>
  </si>
  <si>
    <t>Cadastro não é enviado</t>
  </si>
  <si>
    <t>P08</t>
  </si>
  <si>
    <t>Repetir produto existente</t>
  </si>
  <si>
    <t>Aviso de duplicidade aparece</t>
  </si>
  <si>
    <t>P09</t>
  </si>
  <si>
    <t>Alterar preço, nome ou mínimo</t>
  </si>
  <si>
    <t>Dados são atualizados</t>
  </si>
  <si>
    <t>Funciona. Mesmo problema de edição que ocorre no cliente.</t>
  </si>
  <si>
    <t>P10</t>
  </si>
  <si>
    <t>Ajuste de estoque</t>
  </si>
  <si>
    <t>Alterar quantidade para valor válido</t>
  </si>
  <si>
    <t>Estoque e indicador de baixo estoque atualizam</t>
  </si>
  <si>
    <t>P11</t>
  </si>
  <si>
    <t>Estoque inválido</t>
  </si>
  <si>
    <t>Informar quantidade negativa</t>
  </si>
  <si>
    <t>Operação é recusada</t>
  </si>
  <si>
    <t>Funciona. Mas ao invés de recusar ele apenas segue o comportamento normal e não atualiza com o valor inválido. O ideal era que houvesse um aviso ou algo do tipo.</t>
  </si>
  <si>
    <t>P12</t>
  </si>
  <si>
    <t>Inativação</t>
  </si>
  <si>
    <t>Inativar e confirmar</t>
  </si>
  <si>
    <t>Produto deixa de ser ativo</t>
  </si>
  <si>
    <t>P13</t>
  </si>
  <si>
    <t>Reativação</t>
  </si>
  <si>
    <t>Reativar produto inativo</t>
  </si>
  <si>
    <t>Produto volta a ficar ativo</t>
  </si>
  <si>
    <t>V01</t>
  </si>
  <si>
    <t>Lista</t>
  </si>
  <si>
    <t>Abrir Vendas</t>
  </si>
  <si>
    <t>Vendas da API aparecem</t>
  </si>
  <si>
    <t>Crítica</t>
  </si>
  <si>
    <t>A lista de vendas feitas aparece, é possível filtrar ainda por: todas, aberta, concluída e cancelada.</t>
  </si>
  <si>
    <t>Não há paginação na tela. O ideal seria ter páginação a cada 5 ou no máximo 10 itens. O design da tela precisa ser melhor trabalhado.</t>
  </si>
  <si>
    <t>V02</t>
  </si>
  <si>
    <t>Filtro</t>
  </si>
  <si>
    <t>Filtrar por status</t>
  </si>
  <si>
    <t>Lista respeita o filtro</t>
  </si>
  <si>
    <t>O filtro funciona, mas há um problema de atualização. Ao mudar o status de uma venda e logo em seguida tentar filtrá-la, não é possível visualizar a venda com o novo status na lista. A atualização só ocorre ao fechar e abrir o app.</t>
  </si>
  <si>
    <t>V03</t>
  </si>
  <si>
    <t>Detalhe</t>
  </si>
  <si>
    <t>Abrir uma venda</t>
  </si>
  <si>
    <t>Cliente, itens, total e status aparecem</t>
  </si>
  <si>
    <t>Ao clicar em uma venda realizada a mesma abre normalmente. Mas precisa haver um efeito de transição melhor.</t>
  </si>
  <si>
    <t>V04</t>
  </si>
  <si>
    <t>Nova venda</t>
  </si>
  <si>
    <t>Abrir “Nova venda”</t>
  </si>
  <si>
    <t>Formulário inicia vazio</t>
  </si>
  <si>
    <t>Ao clicar em uma nova venda o formulário inicia vazio normalmente.</t>
  </si>
  <si>
    <t>V05</t>
  </si>
  <si>
    <t>Selecionar cliente</t>
  </si>
  <si>
    <t>Escolher cliente existente</t>
  </si>
  <si>
    <t>Cliente fica associado à venda</t>
  </si>
  <si>
    <t>Cliente é associado a venda normalmente.</t>
  </si>
  <si>
    <t>V06</t>
  </si>
  <si>
    <t>Selecionar produtos</t>
  </si>
  <si>
    <t>Adicionar um ou mais produtos</t>
  </si>
  <si>
    <t>Quantidade, subtotal e total são recalculados</t>
  </si>
  <si>
    <t>A interface exibe os cálculos adequados conforme os produtos e descontos são aplicados.</t>
  </si>
  <si>
    <t>Não é possível editar uma venda realizada na interface do app.</t>
  </si>
  <si>
    <t>V07</t>
  </si>
  <si>
    <t>Editar carrinho</t>
  </si>
  <si>
    <t>Alterar quantidade e remover item</t>
  </si>
  <si>
    <t>Totais são atualizados corretamente</t>
  </si>
  <si>
    <t>Os totais são atualizados corretamente ao editar a quantidade no carrinho.</t>
  </si>
  <si>
    <t>V08</t>
  </si>
  <si>
    <t>Estoque insuficiente</t>
  </si>
  <si>
    <t>Solicitar quantidade maior que o estoque</t>
  </si>
  <si>
    <t>Operação é impedida e mensagem aparece</t>
  </si>
  <si>
    <t>Nenhuma mensagem aparece, mas o botão de adicionar itens no carrinho escurece e impede de adicionar mais. Acredito que precise haver apenas essa mudança de exibir uma mensagem.</t>
  </si>
  <si>
    <t>V09</t>
  </si>
  <si>
    <t>Revisão</t>
  </si>
  <si>
    <t>Avançar para revisão</t>
  </si>
  <si>
    <t>Resumo completo aparece antes de confirmar</t>
  </si>
  <si>
    <t>O resumo completo da venda é exibido. É possível adicionar desconto, selecionar data de entrega e adicionar observações.</t>
  </si>
  <si>
    <t>V10</t>
  </si>
  <si>
    <t>Venda concluída</t>
  </si>
  <si>
    <t>Confirmar venda</t>
  </si>
  <si>
    <t>Venda é salva na API e aparece na lista</t>
  </si>
  <si>
    <t>Venda é adicionada e exibida na lista de vendas.</t>
  </si>
  <si>
    <t>V11</t>
  </si>
  <si>
    <t>Venda pendente</t>
  </si>
  <si>
    <t>Criar venda sem pagamento</t>
  </si>
  <si>
    <t>Status pendente e sugestão de lembrete aparecem</t>
  </si>
  <si>
    <t>O status de lembrete surge, mas somente quando há conexão de internet. Isso é um comportamente incomum. Clientes e produtos adicionados só surgem para manipulação quando é recarregada a página.</t>
  </si>
  <si>
    <t>V12</t>
  </si>
  <si>
    <t>Criar lembrete após venda</t>
  </si>
  <si>
    <t>Usar sugestão de cobrança</t>
  </si>
  <si>
    <t>Formulário de lembrete abre pré-preenchido</t>
  </si>
  <si>
    <t>O formulário surge pré-preenchido, mas é preciso melhorar o preenchimento com mensagens e sugestões que realmente façam sentido para a atribuição dele. Ao mudar o status do lembrete, ele deveria atualizar o pré-preenchimento também.</t>
  </si>
  <si>
    <t>V13</t>
  </si>
  <si>
    <t>Cancelamento</t>
  </si>
  <si>
    <t>Abrir venda, cancelar e confirmar</t>
  </si>
  <si>
    <t>Status é atualizado; cancelamento exige confirmação</t>
  </si>
  <si>
    <t>O status é atualizado na hora, mas para a aplicação há um delay. Ao tentar encontrar o status atualizado da venda na lista de vendas, ela é exibida com o status antigo. Não há nenhuma confirmação para o cancelamento da venda.</t>
  </si>
  <si>
    <t>V14</t>
  </si>
  <si>
    <t>Cancelar ação</t>
  </si>
  <si>
    <t>Iniciar cancelamento e voltar</t>
  </si>
  <si>
    <t>Venda permanece sem alteração</t>
  </si>
  <si>
    <t>BLOQUEADO</t>
  </si>
  <si>
    <t>Não há nenhuma confirmação de cancelamento, por isso esse teste nem poderia ser realizado.</t>
  </si>
  <si>
    <t>F01</t>
  </si>
  <si>
    <t>Lista de pendentes</t>
  </si>
  <si>
    <t>Pagamentos pendentes e vencidos aparecem</t>
  </si>
  <si>
    <t>F02</t>
  </si>
  <si>
    <t>Filtro por status</t>
  </si>
  <si>
    <t>Pendentes, vencidos e pagos filtram corretamente</t>
  </si>
  <si>
    <t>Mesmo estando pago na aba de Venda na aba de Pagamentos é marcada como pendente. Precisa ver a situação dessas duas telas pois pode representar redundância desnecessária na aplicação.</t>
  </si>
  <si>
    <t>F03</t>
  </si>
  <si>
    <t>Filtro por período</t>
  </si>
  <si>
    <t>Informar intervalo de vencimento</t>
  </si>
  <si>
    <t>Lista respeita o período</t>
  </si>
  <si>
    <t>Não funciona.</t>
  </si>
  <si>
    <t>Registrar pagamento</t>
  </si>
  <si>
    <t>Abrir venda, informar método e valor e confirmar</t>
  </si>
  <si>
    <t>Pagamento é criado na API</t>
  </si>
  <si>
    <t>Não funciona. Ao registrar a venda é adicionado o pagamento, mas ao atualizar o status para venda concluída na aba de venda no de pagamentos não ocorre a sincronização.</t>
  </si>
  <si>
    <t>F05</t>
  </si>
  <si>
    <t>Validar pagamento</t>
  </si>
  <si>
    <t>Informar valor vazio, zero ou inválido</t>
  </si>
  <si>
    <t>Pagamento não é enviado</t>
  </si>
  <si>
    <t>Não encontrei o campo para inserir pagamentos de forma específica. Ou você registra que pagou ou não pagou.</t>
  </si>
  <si>
    <t>F06</t>
  </si>
  <si>
    <t>Marcar como pago</t>
  </si>
  <si>
    <t>Confirmar recebimento em Contas a receber</t>
  </si>
  <si>
    <t>Status vira pago</t>
  </si>
  <si>
    <t>Em pagamentos é possível fazer isso, mas o que ocorre é que parece que não há uma sincronização entre vendas e pagamentos com relação a isso.</t>
  </si>
  <si>
    <t>F07</t>
  </si>
  <si>
    <t>Cancelar confirmação</t>
  </si>
  <si>
    <t>Cancelar modal de recebimento</t>
  </si>
  <si>
    <t>Status permanece inalterado</t>
  </si>
  <si>
    <t>F08</t>
  </si>
  <si>
    <t>Pagamento confirmado</t>
  </si>
  <si>
    <t>Reabrir venda e atualizar lista</t>
  </si>
  <si>
    <t>Pagamento e resumo refletem a confirmação</t>
  </si>
  <si>
    <t>Funciona, mas em partes. Ao inserir que houve o pagamento em alguns lugares da venda é exibida que foi pago e na listagem não. Não sei se é um erro de atualização da página, mas precisa trabalhar nisso. Isso não ocorre apenas aqui, é algo que se repete na aplicação como um todo.</t>
  </si>
  <si>
    <t>R01</t>
  </si>
  <si>
    <t>Abrir Lembretes</t>
  </si>
  <si>
    <t>Lembretes são carregados</t>
  </si>
  <si>
    <t>NÃO EXECUTADO</t>
  </si>
  <si>
    <t>R02</t>
  </si>
  <si>
    <t>Filtro período</t>
  </si>
  <si>
    <t>Alternar hoje/todos</t>
  </si>
  <si>
    <t>Lista muda conforme o período</t>
  </si>
  <si>
    <t>R03</t>
  </si>
  <si>
    <t>Filtro status</t>
  </si>
  <si>
    <t>Filtrar pendentes, concluídos e cancelados</t>
  </si>
  <si>
    <t>Lista respeita o status</t>
  </si>
  <si>
    <t>R04</t>
  </si>
  <si>
    <t>Filtro tipo</t>
  </si>
  <si>
    <t>Filtrar cobrança, pós-venda, recompra e contato</t>
  </si>
  <si>
    <t>Lista respeita o tipo</t>
  </si>
  <si>
    <t>R05</t>
  </si>
  <si>
    <t>Usar filtros sem resultados</t>
  </si>
  <si>
    <t>Estado vazio e limpeza de filtros aparecem</t>
  </si>
  <si>
    <t>R06</t>
  </si>
  <si>
    <t>Criar lembrete com cliente, tipo, data e título</t>
  </si>
  <si>
    <t>Lembrete é salvo</t>
  </si>
  <si>
    <t>R07</t>
  </si>
  <si>
    <t>Enviar sem cliente ou título</t>
  </si>
  <si>
    <t>Formulário bloqueia o envio</t>
  </si>
  <si>
    <t>R08</t>
  </si>
  <si>
    <t>Abrir lembrete</t>
  </si>
  <si>
    <t>Dados e mensagem sugerida aparecem</t>
  </si>
  <si>
    <t>R09</t>
  </si>
  <si>
    <t>Concluir</t>
  </si>
  <si>
    <t>Concluir lembrete pendente</t>
  </si>
  <si>
    <t>Status vira concluído e ações são ocultadas</t>
  </si>
  <si>
    <t>R10</t>
  </si>
  <si>
    <t>Cancelar</t>
  </si>
  <si>
    <t>Cancelar e confirmar</t>
  </si>
  <si>
    <t>Status vira cancelado</t>
  </si>
  <si>
    <t>R11</t>
  </si>
  <si>
    <t>WhatsApp</t>
  </si>
  <si>
    <t>Abrir WhatsApp no detalhe</t>
  </si>
  <si>
    <t>App/site abre com telefone e mensagem preparados</t>
  </si>
  <si>
    <t>R12</t>
  </si>
  <si>
    <t>WhatsApp sem telefone</t>
  </si>
  <si>
    <t>Cliente sem contato</t>
  </si>
  <si>
    <t>Mensagem orienta cadastrar telefone</t>
  </si>
  <si>
    <t>R13</t>
  </si>
  <si>
    <t>Notificação</t>
  </si>
  <si>
    <t>Tocar notificação de lembrete</t>
  </si>
  <si>
    <t>App abre na seção de lembretes</t>
  </si>
  <si>
    <t>S01</t>
  </si>
  <si>
    <t>Perfil, offline e sincronização</t>
  </si>
  <si>
    <t>Consultar perfil</t>
  </si>
  <si>
    <t>Abrir Configurações</t>
  </si>
  <si>
    <t>Dados atuais aparecem</t>
  </si>
  <si>
    <t>S02</t>
  </si>
  <si>
    <t>Editar perfil</t>
  </si>
  <si>
    <t>Alterar loja, cidade e estado</t>
  </si>
  <si>
    <t>PATCH é enviado e dados permanecem após reabrir</t>
  </si>
  <si>
    <t>S03</t>
  </si>
  <si>
    <t>Avatar</t>
  </si>
  <si>
    <t>Adicionar, trocar e remover avatar</t>
  </si>
  <si>
    <t>Avatar atualiza localmente</t>
  </si>
  <si>
    <t>S04</t>
  </si>
  <si>
    <t>Offline criar cliente</t>
  </si>
  <si>
    <t>Desligar API/rede e criar cliente</t>
  </si>
  <si>
    <t>Cliente aparece localmente e entra na fila</t>
  </si>
  <si>
    <t>S05</t>
  </si>
  <si>
    <t>Offline editar produto</t>
  </si>
  <si>
    <t>Desligar API e editar produto</t>
  </si>
  <si>
    <t>Alteração local aparece e entra na fila</t>
  </si>
  <si>
    <t>S06</t>
  </si>
  <si>
    <t>Offline venda</t>
  </si>
  <si>
    <t>Desligar API e concluir venda</t>
  </si>
  <si>
    <t>Venda fica salva localmente e pendente de sincronização</t>
  </si>
  <si>
    <t>S07</t>
  </si>
  <si>
    <t>Offline pagamento</t>
  </si>
  <si>
    <t>Registrar pagamento sem API</t>
  </si>
  <si>
    <t>Pagamento fica pendente na fila</t>
  </si>
  <si>
    <t>S08</t>
  </si>
  <si>
    <t>Offline lembrete</t>
  </si>
  <si>
    <t>Criar ou concluir lembrete sem API</t>
  </si>
  <si>
    <t>Operação local é preservada</t>
  </si>
  <si>
    <t>S09</t>
  </si>
  <si>
    <t>Sincronização automática</t>
  </si>
  <si>
    <t>Restaurar API/rede e voltar ao app</t>
  </si>
  <si>
    <t>Fila é processada automaticamente</t>
  </si>
  <si>
    <t>S10</t>
  </si>
  <si>
    <t>Sincronização manual</t>
  </si>
  <si>
    <t>Abrir status e tocar “Sincronizar agora”</t>
  </si>
  <si>
    <t>Pendências são processadas e status atualiza</t>
  </si>
  <si>
    <t>S11</t>
  </si>
  <si>
    <t>Falha de sincronização</t>
  </si>
  <si>
    <t>Forçar erro 400/401/409</t>
  </si>
  <si>
    <t>Operação fica com erro, tentativa e mensagem visíveis</t>
  </si>
  <si>
    <t>S12</t>
  </si>
  <si>
    <t>Repetir falha</t>
  </si>
  <si>
    <t>Corrigir causa e tocar tentar novamente</t>
  </si>
  <si>
    <t>Operação volta para pendente e é reenviada</t>
  </si>
  <si>
    <t>S13</t>
  </si>
  <si>
    <t>Reabrir app</t>
  </si>
  <si>
    <t>Fechar com operações pendentes e abrir novamente</t>
  </si>
  <si>
    <t>Fila continua disponível</t>
  </si>
  <si>
    <t>S14</t>
  </si>
  <si>
    <t>Reconciliação</t>
  </si>
  <si>
    <t>Alterar estoque local e remoto antes da sincronização</t>
  </si>
  <si>
    <t>Servidor permanece como fonte final</t>
  </si>
  <si>
    <t>S15</t>
  </si>
  <si>
    <t>Primeiro plano</t>
  </si>
  <si>
    <t>Minimizar e reabrir o app</t>
  </si>
  <si>
    <t>Sincronização é tentada ao retornar</t>
  </si>
  <si>
    <t>RSP-001</t>
  </si>
  <si>
    <t>Responsividade</t>
  </si>
  <si>
    <t>A02 — Login válido</t>
  </si>
  <si>
    <t>Executar o fluxo A02 no tamanho 320 px (Mobile pequeno) e validar layout, SafeArea, teclado, rolagem, toque, navegação e integração externa quando aplicável.</t>
  </si>
  <si>
    <t>Sem overflow ou corte visual; SafeArea respeitada; teclado não cobre campo ativo; rolagem e navegação funcionam; botões permanecem acessíveis.</t>
  </si>
  <si>
    <t>320 px • Mobile pequeno</t>
  </si>
  <si>
    <t>Caso base: A02.</t>
  </si>
  <si>
    <t>RSP-002</t>
  </si>
  <si>
    <t>Executar o fluxo A02 no tamanho 390 × 844 px (Mobile referência) e validar layout, SafeArea, teclado, rolagem, toque, navegação e integração externa quando aplicável.</t>
  </si>
  <si>
    <t>390 × 844 px • Mobile referência</t>
  </si>
  <si>
    <t>RSP-003</t>
  </si>
  <si>
    <t>Executar o fluxo A02 no tamanho 768 px (Tablet) e validar layout, SafeArea, teclado, rolagem, toque, navegação e integração externa quando aplicável.</t>
  </si>
  <si>
    <t>768 px • Tablet</t>
  </si>
  <si>
    <t>RSP-004</t>
  </si>
  <si>
    <t>C06 — Cadastro válido</t>
  </si>
  <si>
    <t>Executar o fluxo C06 no tamanho 320 px (Mobile pequeno) e validar layout, SafeArea, teclado, rolagem, toque, navegação e integração externa quando aplicável.</t>
  </si>
  <si>
    <t>Caso base: C06.</t>
  </si>
  <si>
    <t>RSP-005</t>
  </si>
  <si>
    <t>Executar o fluxo C06 no tamanho 390 × 844 px (Mobile referência) e validar layout, SafeArea, teclado, rolagem, toque, navegação e integração externa quando aplicável.</t>
  </si>
  <si>
    <t>RSP-006</t>
  </si>
  <si>
    <t>Executar o fluxo C06 no tamanho 768 px (Tablet) e validar layout, SafeArea, teclado, rolagem, toque, navegação e integração externa quando aplicável.</t>
  </si>
  <si>
    <t>RSP-007</t>
  </si>
  <si>
    <t>P06 — Cadastro válido</t>
  </si>
  <si>
    <t>Executar o fluxo P06 no tamanho 320 px (Mobile pequeno) e validar layout, SafeArea, teclado, rolagem, toque, navegação e integração externa quando aplicável.</t>
  </si>
  <si>
    <t>Caso base: P06.</t>
  </si>
  <si>
    <t>RSP-008</t>
  </si>
  <si>
    <t>Executar o fluxo P06 no tamanho 390 × 844 px (Mobile referência) e validar layout, SafeArea, teclado, rolagem, toque, navegação e integração externa quando aplicável.</t>
  </si>
  <si>
    <t>RSP-009</t>
  </si>
  <si>
    <t>Executar o fluxo P06 no tamanho 768 px (Tablet) e validar layout, SafeArea, teclado, rolagem, toque, navegação e integração externa quando aplicável.</t>
  </si>
  <si>
    <t>RSP-010</t>
  </si>
  <si>
    <t>V10 — Venda concluída</t>
  </si>
  <si>
    <t>Executar o fluxo V10 no tamanho 320 px (Mobile pequeno) e validar layout, SafeArea, teclado, rolagem, toque, navegação e integração externa quando aplicável.</t>
  </si>
  <si>
    <t>Caso base: V10.</t>
  </si>
  <si>
    <t>RSP-011</t>
  </si>
  <si>
    <t>Executar o fluxo V10 no tamanho 390 × 844 px (Mobile referência) e validar layout, SafeArea, teclado, rolagem, toque, navegação e integração externa quando aplicável.</t>
  </si>
  <si>
    <t>RSP-012</t>
  </si>
  <si>
    <t>Executar o fluxo V10 no tamanho 768 px (Tablet) e validar layout, SafeArea, teclado, rolagem, toque, navegação e integração externa quando aplicável.</t>
  </si>
  <si>
    <t>RSP-013</t>
  </si>
  <si>
    <t>F04 — Registrar pagamento</t>
  </si>
  <si>
    <t>Executar o fluxo F04 no tamanho 320 px (Mobile pequeno) e validar layout, SafeArea, teclado, rolagem, toque, navegação e integração externa quando aplicável.</t>
  </si>
  <si>
    <t>Caso base: F04.</t>
  </si>
  <si>
    <t>RSP-014</t>
  </si>
  <si>
    <t>Executar o fluxo F04 no tamanho 390 × 844 px (Mobile referência) e validar layout, SafeArea, teclado, rolagem, toque, navegação e integração externa quando aplicável.</t>
  </si>
  <si>
    <t>RSP-015</t>
  </si>
  <si>
    <t>Executar o fluxo F04 no tamanho 768 px (Tablet) e validar layout, SafeArea, teclado, rolagem, toque, navegação e integração externa quando aplicável.</t>
  </si>
  <si>
    <t>RSP-016</t>
  </si>
  <si>
    <t>R06 — Cadastro</t>
  </si>
  <si>
    <t>Executar o fluxo R06 no tamanho 320 px (Mobile pequeno) e validar layout, SafeArea, teclado, rolagem, toque, navegação e integração externa quando aplicável.</t>
  </si>
  <si>
    <t>Caso base: R06.</t>
  </si>
  <si>
    <t>RSP-017</t>
  </si>
  <si>
    <t>Executar o fluxo R06 no tamanho 390 × 844 px (Mobile referência) e validar layout, SafeArea, teclado, rolagem, toque, navegação e integração externa quando aplicável.</t>
  </si>
  <si>
    <t>RSP-018</t>
  </si>
  <si>
    <t>Executar o fluxo R06 no tamanho 768 px (Tablet) e validar layout, SafeArea, teclado, rolagem, toque, navegação e integração externa quando aplicável.</t>
  </si>
  <si>
    <t>RSP-019</t>
  </si>
  <si>
    <t>S10 — Sincronização manual</t>
  </si>
  <si>
    <t>Executar o fluxo S10 no tamanho 320 px (Mobile pequeno) e validar layout, SafeArea, teclado, rolagem, toque, navegação e integração externa quando aplicável.</t>
  </si>
  <si>
    <t>Caso base: S10.</t>
  </si>
  <si>
    <t>RSP-020</t>
  </si>
  <si>
    <t>Executar o fluxo S10 no tamanho 390 × 844 px (Mobile referência) e validar layout, SafeArea, teclado, rolagem, toque, navegação e integração externa quando aplicável.</t>
  </si>
  <si>
    <t>RSP-021</t>
  </si>
  <si>
    <t>Executar o fluxo S10 no tamanho 768 px (Tablet) e validar layout, SafeArea, teclado, rolagem, toque, navegação e integração externa quando aplicável.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</si>
</sst>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%"/>
  </numFmts>
  <fonts count="15">
    <font>
      <sz val="11.0"/>
      <color theme="1"/>
      <name val="Calibri"/>
      <scheme val="minor"/>
    </font>
    <font>
      <b/>
      <sz val="16.0"/>
      <color rgb="FFFFFFFF"/>
      <name val="Calibri"/>
      <scheme val="minor"/>
    </font>
    <font/>
    <font>
      <i/>
      <color rgb="FF7A6C75"/>
      <name val="Calibri"/>
      <scheme val="minor"/>
    </font>
    <font>
      <b/>
      <color rgb="FFFFFFFF"/>
      <name val="Calibri"/>
      <scheme val="minor"/>
    </font>
    <font>
      <color rgb="FF3B3240"/>
      <name val="Calibri"/>
      <scheme val="minor"/>
    </font>
    <font>
      <b/>
      <color rgb="FFB63A45"/>
      <name val="Calibri"/>
      <scheme val="minor"/>
    </font>
    <font>
      <b/>
      <color rgb="FF7A295A"/>
      <name val="Calibri"/>
      <scheme val="minor"/>
    </font>
    <font>
      <i/>
      <sz val="9.0"/>
      <color rgb="FF7A6C75"/>
      <name val="Calibri"/>
      <scheme val="minor"/>
    </font>
    <font>
      <b/>
      <color rgb="FF247A47"/>
      <name val="Calibri"/>
      <scheme val="minor"/>
    </font>
    <font>
      <b/>
      <sz val="18.0"/>
      <color rgb="FFFFFFFF"/>
      <name val="Calibri"/>
      <scheme val="minor"/>
    </font>
    <font>
      <i/>
      <sz val="10.0"/>
      <color rgb="FF7A6C75"/>
      <name val="Calibri"/>
      <scheme val="minor"/>
    </font>
    <font>
      <sz val="11.0"/>
      <color theme="1"/>
      <name val="Calibri"/>
    </font>
    <font>
      <i/>
      <color rgb="FF8A5A00"/>
      <name val="Calibri"/>
      <scheme val="minor"/>
    </font>
    <font>
      <b/>
      <color rgb="FF5B6470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7A295A"/>
        <bgColor rgb="FF7A295A"/>
      </patternFill>
    </fill>
    <fill>
      <patternFill patternType="solid">
        <fgColor rgb="FFE95A8B"/>
        <bgColor rgb="FFE95A8B"/>
      </patternFill>
    </fill>
    <fill>
      <patternFill patternType="solid">
        <fgColor theme="4"/>
        <bgColor theme="4"/>
      </patternFill>
    </fill>
    <fill>
      <patternFill patternType="solid">
        <fgColor rgb="FFFDEBEC"/>
        <bgColor rgb="FFFDEBEC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  <fill>
      <patternFill patternType="solid">
        <fgColor rgb="FFFFF4E0"/>
        <bgColor rgb="FFFFF4E0"/>
      </patternFill>
    </fill>
    <fill>
      <patternFill patternType="solid">
        <fgColor rgb="FFFCE8F0"/>
        <bgColor rgb="FFFCE8F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E6D6DF"/>
      </left>
      <right style="thin">
        <color rgb="FFE6D6DF"/>
      </right>
      <top style="thin">
        <color rgb="FFE6D6DF"/>
      </top>
      <bottom style="thin">
        <color rgb="FFE6D6DF"/>
      </bottom>
    </border>
    <border>
      <left style="thin">
        <color rgb="FFE6D6DF"/>
      </left>
      <top style="thin">
        <color rgb="FFE6D6DF"/>
      </top>
      <bottom style="thin">
        <color rgb="FFE6D6DF"/>
      </bottom>
    </border>
    <border>
      <top style="thin">
        <color rgb="FFE6D6DF"/>
      </top>
      <bottom style="thin">
        <color rgb="FFE6D6DF"/>
      </bottom>
    </border>
    <border>
      <right style="thin">
        <color rgb="FFE6D6DF"/>
      </right>
      <top style="thin">
        <color rgb="FFE6D6DF"/>
      </top>
      <bottom style="thin">
        <color rgb="FFE6D6DF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 shrinkToFit="0" vertical="top" wrapText="1"/>
    </xf>
    <xf borderId="4" fillId="3" fontId="4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center" shrinkToFit="0" vertical="center" wrapText="1"/>
    </xf>
    <xf borderId="4" fillId="0" fontId="5" numFmtId="0" xfId="0" applyAlignment="1" applyBorder="1" applyFont="1">
      <alignment horizontal="left" shrinkToFit="0" vertical="top" wrapText="1"/>
    </xf>
    <xf borderId="4" fillId="0" fontId="5" numFmtId="0" xfId="0" applyAlignment="1" applyBorder="1" applyFont="1">
      <alignment horizontal="center" shrinkToFit="0" vertical="center" wrapText="1"/>
    </xf>
    <xf borderId="4" fillId="5" fontId="6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ill="1" applyFont="1">
      <alignment horizontal="left" shrinkToFit="0" vertical="top" wrapText="1"/>
    </xf>
    <xf borderId="4" fillId="5" fontId="6" numFmtId="0" xfId="0" applyAlignment="1" applyBorder="1" applyFont="1">
      <alignment horizontal="center" readingOrder="0" shrinkToFit="0" vertical="center" wrapText="1"/>
    </xf>
    <xf borderId="4" fillId="6" fontId="7" numFmtId="0" xfId="0" applyAlignment="1" applyBorder="1" applyFont="1">
      <alignment horizontal="left" shrinkToFit="0" vertical="top" wrapText="1"/>
    </xf>
    <xf borderId="4" fillId="6" fontId="5" numFmtId="0" xfId="0" applyAlignment="1" applyBorder="1" applyFont="1">
      <alignment horizontal="center" shrinkToFit="0" vertical="center" wrapText="1"/>
    </xf>
    <xf borderId="4" fillId="6" fontId="6" numFmtId="0" xfId="0" applyAlignment="1" applyBorder="1" applyFont="1">
      <alignment horizontal="center" shrinkToFit="0" vertical="center" wrapText="1"/>
    </xf>
    <xf borderId="4" fillId="6" fontId="5" numFmtId="164" xfId="0" applyAlignment="1" applyBorder="1" applyFont="1" applyNumberFormat="1">
      <alignment horizontal="center" shrinkToFit="0" vertical="center" wrapText="1"/>
    </xf>
    <xf borderId="4" fillId="6" fontId="5" numFmtId="0" xfId="0" applyAlignment="1" applyBorder="1" applyFont="1">
      <alignment horizontal="left" readingOrder="0" shrinkToFit="0" vertical="top" wrapText="1"/>
    </xf>
    <xf borderId="4" fillId="7" fontId="5" numFmtId="0" xfId="0" applyAlignment="1" applyBorder="1" applyFill="1" applyFont="1">
      <alignment horizontal="left" shrinkToFit="0" vertical="top" wrapText="1"/>
    </xf>
    <xf borderId="4" fillId="7" fontId="7" numFmtId="0" xfId="0" applyAlignment="1" applyBorder="1" applyFont="1">
      <alignment horizontal="left" shrinkToFit="0" vertical="top" wrapText="1"/>
    </xf>
    <xf borderId="4" fillId="7" fontId="5" numFmtId="0" xfId="0" applyAlignment="1" applyBorder="1" applyFont="1">
      <alignment horizontal="center" shrinkToFit="0" vertical="center" wrapText="1"/>
    </xf>
    <xf borderId="4" fillId="7" fontId="6" numFmtId="0" xfId="0" applyAlignment="1" applyBorder="1" applyFont="1">
      <alignment horizontal="center" shrinkToFit="0" vertical="center" wrapText="1"/>
    </xf>
    <xf borderId="4" fillId="7" fontId="5" numFmtId="164" xfId="0" applyAlignment="1" applyBorder="1" applyFont="1" applyNumberFormat="1">
      <alignment horizontal="center" shrinkToFit="0" vertical="center" wrapText="1"/>
    </xf>
    <xf borderId="4" fillId="7" fontId="5" numFmtId="0" xfId="0" applyAlignment="1" applyBorder="1" applyFont="1">
      <alignment horizontal="left" readingOrder="0" shrinkToFit="0" vertical="top" wrapText="1"/>
    </xf>
    <xf borderId="0" fillId="0" fontId="8" numFmtId="0" xfId="0" applyAlignment="1" applyFont="1">
      <alignment horizontal="right"/>
    </xf>
    <xf borderId="4" fillId="7" fontId="9" numFmtId="0" xfId="0" applyAlignment="1" applyBorder="1" applyFont="1">
      <alignment horizontal="center" shrinkToFit="0" vertical="center" wrapText="1"/>
    </xf>
    <xf borderId="1" fillId="2" fontId="10" numFmtId="0" xfId="0" applyAlignment="1" applyBorder="1" applyFont="1">
      <alignment horizontal="center" shrinkToFit="0" vertical="center" wrapText="1"/>
    </xf>
    <xf borderId="4" fillId="6" fontId="9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left" vertical="center"/>
    </xf>
    <xf borderId="4" fillId="3" fontId="4" numFmtId="0" xfId="0" applyAlignment="1" applyBorder="1" applyFont="1">
      <alignment horizontal="center" shrinkToFit="0" vertical="center" wrapText="1"/>
    </xf>
    <xf borderId="4" fillId="0" fontId="12" numFmtId="0" xfId="0" applyAlignment="1" applyBorder="1" applyFont="1">
      <alignment horizontal="left" shrinkToFit="0" vertical="top" wrapText="1"/>
    </xf>
    <xf borderId="4" fillId="0" fontId="12" numFmtId="0" xfId="0" applyAlignment="1" applyBorder="1" applyFont="1">
      <alignment horizontal="center" shrinkToFit="0" vertical="center" wrapText="1"/>
    </xf>
    <xf borderId="4" fillId="0" fontId="12" numFmtId="165" xfId="0" applyAlignment="1" applyBorder="1" applyFont="1" applyNumberFormat="1">
      <alignment horizontal="center" shrinkToFit="0" vertical="center" wrapText="1"/>
    </xf>
    <xf borderId="5" fillId="8" fontId="13" numFmtId="0" xfId="0" applyAlignment="1" applyBorder="1" applyFill="1" applyFont="1">
      <alignment horizontal="left" shrinkToFit="0" vertical="top" wrapText="1"/>
    </xf>
    <xf borderId="6" fillId="0" fontId="2" numFmtId="0" xfId="0" applyBorder="1" applyFont="1"/>
    <xf borderId="7" fillId="0" fontId="2" numFmtId="0" xfId="0" applyBorder="1" applyFont="1"/>
    <xf borderId="5" fillId="9" fontId="7" numFmtId="0" xfId="0" applyAlignment="1" applyBorder="1" applyFill="1" applyFont="1">
      <alignment horizontal="left" shrinkToFit="0" vertical="top" wrapText="1"/>
    </xf>
    <xf borderId="4" fillId="9" fontId="7" numFmtId="0" xfId="0" applyAlignment="1" applyBorder="1" applyFont="1">
      <alignment horizontal="left" shrinkToFit="0" vertical="top" wrapText="1"/>
    </xf>
    <xf borderId="5" fillId="0" fontId="12" numFmtId="0" xfId="0" applyAlignment="1" applyBorder="1" applyFont="1">
      <alignment horizontal="left" shrinkToFit="0" vertical="top" wrapText="1"/>
    </xf>
    <xf borderId="4" fillId="6" fontId="14" numFmtId="0" xfId="0" applyAlignment="1" applyBorder="1" applyFont="1">
      <alignment horizontal="center" readingOrder="0" shrinkToFit="0" vertical="center" wrapText="1"/>
    </xf>
    <xf borderId="4" fillId="6" fontId="5" numFmtId="164" xfId="0" applyAlignment="1" applyBorder="1" applyFont="1" applyNumberFormat="1">
      <alignment horizontal="center" readingOrder="0" shrinkToFit="0" vertical="center" wrapText="1"/>
    </xf>
    <xf borderId="4" fillId="7" fontId="14" numFmtId="0" xfId="0" applyAlignment="1" applyBorder="1" applyFont="1">
      <alignment horizontal="center" readingOrder="0" shrinkToFit="0" vertical="center" wrapText="1"/>
    </xf>
    <xf borderId="4" fillId="7" fontId="5" numFmtId="164" xfId="0" applyAlignment="1" applyBorder="1" applyFont="1" applyNumberFormat="1">
      <alignment horizontal="center" readingOrder="0" shrinkToFit="0" vertical="center" wrapText="1"/>
    </xf>
    <xf borderId="4" fillId="6" fontId="14" numFmtId="0" xfId="0" applyAlignment="1" applyBorder="1" applyFont="1">
      <alignment horizontal="center" shrinkToFit="0" vertical="center" wrapText="1"/>
    </xf>
    <xf borderId="4" fillId="7" fontId="1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E5B8B7"/>
          <bgColor rgb="FFE5B8B7"/>
        </patternFill>
      </fill>
      <border/>
    </dxf>
    <dxf>
      <font/>
      <fill>
        <patternFill patternType="solid">
          <fgColor rgb="FFF2DBDB"/>
          <bgColor rgb="FFF2DBDB"/>
        </patternFill>
      </fill>
      <border/>
    </dxf>
  </dxfs>
  <tableStyles count="1">
    <tableStyle count="3" pivot="0" name="Bugs e Gap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Status dos testes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Resumo!$D$5:$D$7</c:f>
            </c:strRef>
          </c:cat>
          <c:val>
            <c:numRef>
              <c:f>Resumo!$E$5:$E$7</c:f>
              <c:numCache/>
            </c:numRef>
          </c:val>
        </c:ser>
        <c:axId val="2105267589"/>
        <c:axId val="1244788841"/>
      </c:barChart>
      <c:catAx>
        <c:axId val="210526758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Quantidade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4788841"/>
      </c:catAx>
      <c:valAx>
        <c:axId val="124478884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526758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6</xdr:row>
      <xdr:rowOff>0</xdr:rowOff>
    </xdr:from>
    <xdr:ext cx="3590925" cy="2152650"/>
    <xdr:graphicFrame>
      <xdr:nvGraphicFramePr>
        <xdr:cNvPr id="72096367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0</xdr:colOff>
      <xdr:row>0</xdr:row>
      <xdr:rowOff>0</xdr:rowOff>
    </xdr:from>
    <xdr:ext cx="6667500" cy="857250"/>
    <xdr:pic>
      <xdr:nvPicPr>
        <xdr:cNvPr descr="Picture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K16" displayName="Table_1" name="Table_1" id="1">
  <tableColumns count="11">
    <tableColumn name="ID" id="1"/>
    <tableColumn name="Tipo" id="2"/>
    <tableColumn name="Área" id="3"/>
    <tableColumn name="Resumo" id="4"/>
    <tableColumn name="Casos impactados" id="5"/>
    <tableColumn name="Severidade" id="6"/>
    <tableColumn name="Prioridade" id="7"/>
    <tableColumn name="Responsável" id="8"/>
    <tableColumn name="Status" id="9"/>
    <tableColumn name="Comportamento observado" id="10"/>
    <tableColumn name="Esperado / Próximo passo" id="11"/>
  </tableColumns>
  <tableStyleInfo name="Bugs e Gap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95A8B"/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42.0"/>
    <col customWidth="1" min="3" max="3" width="20.0"/>
    <col customWidth="1" min="4" max="4" width="24.0"/>
    <col customWidth="1" min="5" max="5" width="16.0"/>
    <col customWidth="1" min="6" max="6" width="14.0"/>
    <col customWidth="1" min="7" max="8" width="18.0"/>
    <col customWidth="1" min="9" max="26" width="8.71"/>
  </cols>
  <sheetData>
    <row r="1" ht="27.75" customHeight="1">
      <c r="A1" s="25" t="s">
        <v>141</v>
      </c>
      <c r="B1" s="2"/>
      <c r="C1" s="2"/>
      <c r="D1" s="2"/>
      <c r="E1" s="2"/>
      <c r="F1" s="2"/>
      <c r="G1" s="2"/>
      <c r="H1" s="3"/>
    </row>
    <row r="2">
      <c r="A2" s="27" t="s">
        <v>146</v>
      </c>
    </row>
    <row r="4">
      <c r="A4" s="28" t="s">
        <v>148</v>
      </c>
      <c r="B4" s="28" t="s">
        <v>150</v>
      </c>
      <c r="D4" s="28" t="s">
        <v>148</v>
      </c>
      <c r="E4" s="28" t="s">
        <v>150</v>
      </c>
    </row>
    <row r="5">
      <c r="A5" s="29" t="s">
        <v>152</v>
      </c>
      <c r="B5" s="30">
        <f>COUNTA('Casos de Teste'!A:A)-3</f>
        <v>116</v>
      </c>
      <c r="D5" s="29" t="s">
        <v>139</v>
      </c>
      <c r="E5" s="30">
        <f>COUNTIF('Casos de Teste'!I:I,"OK")</f>
        <v>39</v>
      </c>
    </row>
    <row r="6">
      <c r="A6" s="29" t="s">
        <v>157</v>
      </c>
      <c r="B6" s="30">
        <f>COUNTIF('Casos de Teste'!B:B,"Funcional")</f>
        <v>94</v>
      </c>
      <c r="D6" s="29" t="s">
        <v>161</v>
      </c>
      <c r="E6" s="30">
        <f>COUNTIF('Casos de Teste'!I:I,"FALHA")</f>
        <v>26</v>
      </c>
    </row>
    <row r="7">
      <c r="A7" s="29" t="s">
        <v>162</v>
      </c>
      <c r="B7" s="30">
        <f>COUNTIF('Casos de Teste'!B:B,"Responsividade")</f>
        <v>21</v>
      </c>
      <c r="D7" s="29" t="s">
        <v>164</v>
      </c>
      <c r="E7" s="30">
        <f>COUNTIF('Casos de Teste'!I:I,"BLOQUEADO")</f>
        <v>10</v>
      </c>
    </row>
    <row r="8">
      <c r="A8" s="29" t="s">
        <v>166</v>
      </c>
      <c r="B8" s="30">
        <f>COUNTIF('Casos de Teste'!I:I,"OK")+COUNTIF('Casos de Teste'!I:I,"FALHA")+COUNTIF('Casos de Teste'!I:I,"BLOQUEADO")</f>
        <v>75</v>
      </c>
      <c r="D8" s="29" t="s">
        <v>170</v>
      </c>
      <c r="E8" s="30">
        <f>COUNTIF('Bugs e Gaps'!I:I,"Aberto")</f>
        <v>11</v>
      </c>
    </row>
    <row r="9">
      <c r="A9" s="29" t="s">
        <v>171</v>
      </c>
      <c r="B9" s="30">
        <f>COUNTIF('Casos de Teste'!I:I,"NÃO EXECUTADO")</f>
        <v>40</v>
      </c>
      <c r="D9" s="29" t="s">
        <v>173</v>
      </c>
      <c r="E9" s="30">
        <f>COUNTIF('Bugs e Gaps'!G:G,"P1")</f>
        <v>8</v>
      </c>
    </row>
    <row r="10">
      <c r="A10" s="29" t="s">
        <v>175</v>
      </c>
      <c r="B10" s="31">
        <f>(COUNTIF('Casos de Teste'!I:I,"OK")+COUNTIF('Casos de Teste'!I:I,"FALHA")+COUNTIF('Casos de Teste'!I:I,"BLOQUEADO"))/(COUNTA('Casos de Teste'!A:A)-3)</f>
        <v>0.6465517241</v>
      </c>
      <c r="D10" s="29" t="s">
        <v>180</v>
      </c>
      <c r="E10" s="30" t="s">
        <v>182</v>
      </c>
    </row>
    <row r="12">
      <c r="A12" s="32" t="s">
        <v>183</v>
      </c>
      <c r="B12" s="33"/>
      <c r="C12" s="33"/>
      <c r="D12" s="33"/>
      <c r="E12" s="33"/>
      <c r="F12" s="33"/>
      <c r="G12" s="33"/>
      <c r="H12" s="34"/>
    </row>
    <row r="15">
      <c r="A15" s="35" t="s">
        <v>187</v>
      </c>
      <c r="B15" s="33"/>
      <c r="C15" s="33"/>
      <c r="D15" s="33"/>
      <c r="E15" s="33"/>
      <c r="F15" s="33"/>
      <c r="G15" s="33"/>
      <c r="H15" s="34"/>
    </row>
    <row r="16">
      <c r="A16" s="36" t="s">
        <v>188</v>
      </c>
      <c r="B16" s="37" t="s">
        <v>190</v>
      </c>
      <c r="C16" s="33"/>
      <c r="D16" s="33"/>
      <c r="E16" s="33"/>
      <c r="F16" s="33"/>
      <c r="G16" s="33"/>
      <c r="H16" s="34"/>
    </row>
    <row r="17">
      <c r="A17" s="36" t="s">
        <v>191</v>
      </c>
      <c r="B17" s="37" t="s">
        <v>193</v>
      </c>
      <c r="C17" s="33"/>
      <c r="D17" s="33"/>
      <c r="E17" s="33"/>
      <c r="F17" s="33"/>
      <c r="G17" s="33"/>
      <c r="H17" s="34"/>
    </row>
    <row r="18">
      <c r="A18" s="36" t="s">
        <v>196</v>
      </c>
      <c r="B18" s="37" t="s">
        <v>197</v>
      </c>
      <c r="C18" s="33"/>
      <c r="D18" s="33"/>
      <c r="E18" s="33"/>
      <c r="F18" s="33"/>
      <c r="G18" s="33"/>
      <c r="H18" s="34"/>
    </row>
    <row r="19">
      <c r="A19" s="36" t="s">
        <v>198</v>
      </c>
      <c r="B19" s="37" t="s">
        <v>199</v>
      </c>
      <c r="C19" s="33"/>
      <c r="D19" s="33"/>
      <c r="E19" s="33"/>
      <c r="F19" s="33"/>
      <c r="G19" s="33"/>
      <c r="H19" s="34"/>
    </row>
    <row r="20">
      <c r="A20" s="36" t="s">
        <v>201</v>
      </c>
      <c r="B20" s="37" t="s">
        <v>202</v>
      </c>
      <c r="C20" s="33"/>
      <c r="D20" s="33"/>
      <c r="E20" s="33"/>
      <c r="F20" s="33"/>
      <c r="G20" s="33"/>
      <c r="H20" s="34"/>
    </row>
    <row r="21" ht="15.75" customHeight="1">
      <c r="A21" s="36" t="s">
        <v>206</v>
      </c>
      <c r="B21" s="37" t="s">
        <v>207</v>
      </c>
      <c r="C21" s="33"/>
      <c r="D21" s="33"/>
      <c r="E21" s="33"/>
      <c r="F21" s="33"/>
      <c r="G21" s="33"/>
      <c r="H21" s="34"/>
    </row>
    <row r="22" ht="15.75" customHeight="1">
      <c r="A22" s="36" t="s">
        <v>209</v>
      </c>
      <c r="B22" s="37" t="s">
        <v>210</v>
      </c>
      <c r="C22" s="33"/>
      <c r="D22" s="33"/>
      <c r="E22" s="33"/>
      <c r="F22" s="33"/>
      <c r="G22" s="33"/>
      <c r="H22" s="34"/>
    </row>
    <row r="23" ht="15.75" customHeight="1">
      <c r="A23" s="36" t="s">
        <v>213</v>
      </c>
      <c r="B23" s="37" t="s">
        <v>214</v>
      </c>
      <c r="C23" s="33"/>
      <c r="D23" s="33"/>
      <c r="E23" s="33"/>
      <c r="F23" s="33"/>
      <c r="G23" s="33"/>
      <c r="H23" s="34"/>
    </row>
    <row r="24" ht="15.75" customHeight="1"/>
    <row r="25" ht="15.75" customHeight="1">
      <c r="A25" s="23" t="s">
        <v>130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19:H19"/>
    <mergeCell ref="B20:H20"/>
    <mergeCell ref="B21:H21"/>
    <mergeCell ref="B22:H22"/>
    <mergeCell ref="B23:H23"/>
    <mergeCell ref="A25:H25"/>
    <mergeCell ref="A1:H1"/>
    <mergeCell ref="A2:H2"/>
    <mergeCell ref="A12:H12"/>
    <mergeCell ref="A15:H15"/>
    <mergeCell ref="B16:H16"/>
    <mergeCell ref="B17:H17"/>
    <mergeCell ref="B18:H18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95A8B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18.0"/>
    <col customWidth="1" min="3" max="3" width="26.0"/>
    <col customWidth="1" min="4" max="4" width="28.0"/>
    <col customWidth="1" min="5" max="5" width="46.0"/>
    <col customWidth="1" min="6" max="6" width="40.0"/>
    <col customWidth="1" min="7" max="7" width="12.0"/>
    <col customWidth="1" min="8" max="8" width="14.0"/>
    <col customWidth="1" min="9" max="9" width="16.0"/>
    <col customWidth="1" min="10" max="10" width="15.0"/>
    <col customWidth="1" min="11" max="11" width="24.0"/>
    <col customWidth="1" min="12" max="12" width="50.0"/>
    <col customWidth="1" min="13" max="13" width="18.0"/>
    <col customWidth="1" min="14" max="14" width="46.14"/>
    <col customWidth="1" min="15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 t="s">
        <v>3</v>
      </c>
    </row>
    <row r="3">
      <c r="A3" s="6" t="s">
        <v>4</v>
      </c>
      <c r="B3" s="6" t="s">
        <v>12</v>
      </c>
      <c r="C3" s="6" t="s">
        <v>6</v>
      </c>
      <c r="D3" s="6" t="s">
        <v>18</v>
      </c>
      <c r="E3" s="6" t="s">
        <v>22</v>
      </c>
      <c r="F3" s="6" t="s">
        <v>23</v>
      </c>
      <c r="G3" s="6" t="s">
        <v>10</v>
      </c>
      <c r="H3" s="6" t="s">
        <v>11</v>
      </c>
      <c r="I3" s="6" t="s">
        <v>13</v>
      </c>
      <c r="J3" s="6" t="s">
        <v>28</v>
      </c>
      <c r="K3" s="6" t="s">
        <v>31</v>
      </c>
      <c r="L3" s="6" t="s">
        <v>34</v>
      </c>
      <c r="M3" s="6" t="s">
        <v>37</v>
      </c>
      <c r="N3" s="6" t="s">
        <v>38</v>
      </c>
    </row>
    <row r="4" ht="42.0" hidden="1" customHeight="1">
      <c r="A4" s="10" t="s">
        <v>21</v>
      </c>
      <c r="B4" s="12" t="s">
        <v>48</v>
      </c>
      <c r="C4" s="10" t="s">
        <v>19</v>
      </c>
      <c r="D4" s="10" t="s">
        <v>55</v>
      </c>
      <c r="E4" s="10" t="s">
        <v>58</v>
      </c>
      <c r="F4" s="10" t="s">
        <v>62</v>
      </c>
      <c r="G4" s="13" t="s">
        <v>24</v>
      </c>
      <c r="H4" s="13" t="s">
        <v>65</v>
      </c>
      <c r="I4" s="14" t="s">
        <v>75</v>
      </c>
      <c r="J4" s="15">
        <v>46230.0</v>
      </c>
      <c r="K4" s="16" t="s">
        <v>91</v>
      </c>
      <c r="L4" s="10" t="s">
        <v>92</v>
      </c>
      <c r="M4" s="10" t="s">
        <v>16</v>
      </c>
      <c r="N4" s="10"/>
    </row>
    <row r="5" ht="42.0" hidden="1" customHeight="1">
      <c r="A5" s="17" t="s">
        <v>36</v>
      </c>
      <c r="B5" s="18" t="s">
        <v>48</v>
      </c>
      <c r="C5" s="17" t="s">
        <v>19</v>
      </c>
      <c r="D5" s="17" t="s">
        <v>106</v>
      </c>
      <c r="E5" s="17" t="s">
        <v>108</v>
      </c>
      <c r="F5" s="17" t="s">
        <v>112</v>
      </c>
      <c r="G5" s="19" t="s">
        <v>24</v>
      </c>
      <c r="H5" s="19" t="s">
        <v>65</v>
      </c>
      <c r="I5" s="20" t="s">
        <v>75</v>
      </c>
      <c r="J5" s="21">
        <v>46230.0</v>
      </c>
      <c r="K5" s="22" t="s">
        <v>91</v>
      </c>
      <c r="L5" s="17" t="s">
        <v>127</v>
      </c>
      <c r="M5" s="17" t="s">
        <v>32</v>
      </c>
      <c r="N5" s="17"/>
    </row>
    <row r="6" ht="42.0" hidden="1" customHeight="1">
      <c r="A6" s="10" t="s">
        <v>44</v>
      </c>
      <c r="B6" s="12" t="s">
        <v>48</v>
      </c>
      <c r="C6" s="10" t="s">
        <v>19</v>
      </c>
      <c r="D6" s="10" t="s">
        <v>131</v>
      </c>
      <c r="E6" s="10" t="s">
        <v>132</v>
      </c>
      <c r="F6" s="10" t="s">
        <v>133</v>
      </c>
      <c r="G6" s="13" t="s">
        <v>24</v>
      </c>
      <c r="H6" s="13" t="s">
        <v>65</v>
      </c>
      <c r="I6" s="14" t="s">
        <v>75</v>
      </c>
      <c r="J6" s="15">
        <v>46230.0</v>
      </c>
      <c r="K6" s="16" t="s">
        <v>91</v>
      </c>
      <c r="L6" s="10" t="s">
        <v>134</v>
      </c>
      <c r="M6" s="10" t="s">
        <v>41</v>
      </c>
      <c r="N6" s="10"/>
    </row>
    <row r="7" ht="42.0" hidden="1" customHeight="1">
      <c r="A7" s="17" t="s">
        <v>135</v>
      </c>
      <c r="B7" s="18" t="s">
        <v>48</v>
      </c>
      <c r="C7" s="17" t="s">
        <v>19</v>
      </c>
      <c r="D7" s="17" t="s">
        <v>136</v>
      </c>
      <c r="E7" s="17" t="s">
        <v>137</v>
      </c>
      <c r="F7" s="17" t="s">
        <v>138</v>
      </c>
      <c r="G7" s="19" t="s">
        <v>24</v>
      </c>
      <c r="H7" s="19" t="s">
        <v>65</v>
      </c>
      <c r="I7" s="24" t="s">
        <v>139</v>
      </c>
      <c r="J7" s="21">
        <v>46230.0</v>
      </c>
      <c r="K7" s="22" t="s">
        <v>91</v>
      </c>
      <c r="L7" s="17" t="s">
        <v>140</v>
      </c>
      <c r="M7" s="17"/>
      <c r="N7" s="17"/>
    </row>
    <row r="8" ht="42.0" hidden="1" customHeight="1">
      <c r="A8" s="10" t="s">
        <v>142</v>
      </c>
      <c r="B8" s="12" t="s">
        <v>48</v>
      </c>
      <c r="C8" s="10" t="s">
        <v>19</v>
      </c>
      <c r="D8" s="10" t="s">
        <v>143</v>
      </c>
      <c r="E8" s="10" t="s">
        <v>144</v>
      </c>
      <c r="F8" s="10" t="s">
        <v>145</v>
      </c>
      <c r="G8" s="13" t="s">
        <v>24</v>
      </c>
      <c r="H8" s="13" t="s">
        <v>65</v>
      </c>
      <c r="I8" s="26" t="s">
        <v>139</v>
      </c>
      <c r="J8" s="15">
        <v>46230.0</v>
      </c>
      <c r="K8" s="16" t="s">
        <v>91</v>
      </c>
      <c r="L8" s="10" t="s">
        <v>147</v>
      </c>
      <c r="M8" s="10"/>
      <c r="N8" s="10"/>
    </row>
    <row r="9" ht="42.0" hidden="1" customHeight="1">
      <c r="A9" s="17" t="s">
        <v>149</v>
      </c>
      <c r="B9" s="18" t="s">
        <v>48</v>
      </c>
      <c r="C9" s="17" t="s">
        <v>19</v>
      </c>
      <c r="D9" s="17" t="s">
        <v>151</v>
      </c>
      <c r="E9" s="17" t="s">
        <v>153</v>
      </c>
      <c r="F9" s="17" t="s">
        <v>154</v>
      </c>
      <c r="G9" s="19" t="s">
        <v>24</v>
      </c>
      <c r="H9" s="19" t="s">
        <v>65</v>
      </c>
      <c r="I9" s="24" t="s">
        <v>139</v>
      </c>
      <c r="J9" s="21">
        <v>46230.0</v>
      </c>
      <c r="K9" s="22" t="s">
        <v>91</v>
      </c>
      <c r="L9" s="17" t="s">
        <v>155</v>
      </c>
      <c r="M9" s="17"/>
      <c r="N9" s="17"/>
    </row>
    <row r="10" ht="42.0" hidden="1" customHeight="1">
      <c r="A10" s="10" t="s">
        <v>156</v>
      </c>
      <c r="B10" s="12" t="s">
        <v>48</v>
      </c>
      <c r="C10" s="10" t="s">
        <v>19</v>
      </c>
      <c r="D10" s="10" t="s">
        <v>158</v>
      </c>
      <c r="E10" s="10" t="s">
        <v>159</v>
      </c>
      <c r="F10" s="10" t="s">
        <v>160</v>
      </c>
      <c r="G10" s="13" t="s">
        <v>24</v>
      </c>
      <c r="H10" s="13" t="s">
        <v>65</v>
      </c>
      <c r="I10" s="26" t="s">
        <v>139</v>
      </c>
      <c r="J10" s="15">
        <v>46230.0</v>
      </c>
      <c r="K10" s="16" t="s">
        <v>91</v>
      </c>
      <c r="L10" s="10" t="s">
        <v>163</v>
      </c>
      <c r="M10" s="10"/>
      <c r="N10" s="10"/>
    </row>
    <row r="11" ht="42.0" hidden="1" customHeight="1">
      <c r="A11" s="17" t="s">
        <v>165</v>
      </c>
      <c r="B11" s="18" t="s">
        <v>48</v>
      </c>
      <c r="C11" s="17" t="s">
        <v>19</v>
      </c>
      <c r="D11" s="17" t="s">
        <v>167</v>
      </c>
      <c r="E11" s="17" t="s">
        <v>168</v>
      </c>
      <c r="F11" s="17" t="s">
        <v>169</v>
      </c>
      <c r="G11" s="19" t="s">
        <v>24</v>
      </c>
      <c r="H11" s="19" t="s">
        <v>65</v>
      </c>
      <c r="I11" s="24" t="s">
        <v>139</v>
      </c>
      <c r="J11" s="21">
        <v>46230.0</v>
      </c>
      <c r="K11" s="22" t="s">
        <v>91</v>
      </c>
      <c r="L11" s="17" t="s">
        <v>172</v>
      </c>
      <c r="M11" s="17"/>
      <c r="N11" s="17"/>
    </row>
    <row r="12" ht="42.0" hidden="1" customHeight="1">
      <c r="A12" s="10" t="s">
        <v>174</v>
      </c>
      <c r="B12" s="12" t="s">
        <v>48</v>
      </c>
      <c r="C12" s="10" t="s">
        <v>19</v>
      </c>
      <c r="D12" s="10" t="s">
        <v>176</v>
      </c>
      <c r="E12" s="10" t="s">
        <v>177</v>
      </c>
      <c r="F12" s="10" t="s">
        <v>178</v>
      </c>
      <c r="G12" s="13" t="s">
        <v>24</v>
      </c>
      <c r="H12" s="13" t="s">
        <v>65</v>
      </c>
      <c r="I12" s="26" t="s">
        <v>139</v>
      </c>
      <c r="J12" s="15">
        <v>46230.0</v>
      </c>
      <c r="K12" s="16" t="s">
        <v>91</v>
      </c>
      <c r="L12" s="10" t="s">
        <v>179</v>
      </c>
      <c r="M12" s="10"/>
      <c r="N12" s="10"/>
    </row>
    <row r="13" ht="42.0" hidden="1" customHeight="1">
      <c r="A13" s="17" t="s">
        <v>181</v>
      </c>
      <c r="B13" s="18" t="s">
        <v>48</v>
      </c>
      <c r="C13" s="17" t="s">
        <v>19</v>
      </c>
      <c r="D13" s="17" t="s">
        <v>184</v>
      </c>
      <c r="E13" s="17" t="s">
        <v>185</v>
      </c>
      <c r="F13" s="17" t="s">
        <v>186</v>
      </c>
      <c r="G13" s="19" t="s">
        <v>24</v>
      </c>
      <c r="H13" s="19" t="s">
        <v>65</v>
      </c>
      <c r="I13" s="24" t="s">
        <v>139</v>
      </c>
      <c r="J13" s="21">
        <v>46230.0</v>
      </c>
      <c r="K13" s="22" t="s">
        <v>91</v>
      </c>
      <c r="L13" s="17" t="s">
        <v>189</v>
      </c>
      <c r="M13" s="17"/>
      <c r="N13" s="17"/>
    </row>
    <row r="14" ht="42.0" hidden="1" customHeight="1">
      <c r="A14" s="10" t="s">
        <v>54</v>
      </c>
      <c r="B14" s="12" t="s">
        <v>48</v>
      </c>
      <c r="C14" s="10" t="s">
        <v>19</v>
      </c>
      <c r="D14" s="10" t="s">
        <v>192</v>
      </c>
      <c r="E14" s="10" t="s">
        <v>194</v>
      </c>
      <c r="F14" s="10" t="s">
        <v>195</v>
      </c>
      <c r="G14" s="13" t="s">
        <v>24</v>
      </c>
      <c r="H14" s="13" t="s">
        <v>65</v>
      </c>
      <c r="I14" s="14" t="s">
        <v>75</v>
      </c>
      <c r="J14" s="15">
        <v>46230.0</v>
      </c>
      <c r="K14" s="16" t="s">
        <v>91</v>
      </c>
      <c r="L14" s="10" t="s">
        <v>200</v>
      </c>
      <c r="M14" s="10" t="s">
        <v>51</v>
      </c>
      <c r="N14" s="10"/>
    </row>
    <row r="15" ht="42.0" customHeight="1">
      <c r="A15" s="17" t="s">
        <v>203</v>
      </c>
      <c r="B15" s="18" t="s">
        <v>48</v>
      </c>
      <c r="C15" s="17" t="s">
        <v>204</v>
      </c>
      <c r="D15" s="17" t="s">
        <v>205</v>
      </c>
      <c r="E15" s="17"/>
      <c r="F15" s="17" t="s">
        <v>208</v>
      </c>
      <c r="G15" s="19" t="s">
        <v>45</v>
      </c>
      <c r="H15" s="19" t="s">
        <v>26</v>
      </c>
      <c r="I15" s="24" t="s">
        <v>139</v>
      </c>
      <c r="J15" s="21">
        <v>46230.0</v>
      </c>
      <c r="K15" s="17" t="s">
        <v>211</v>
      </c>
      <c r="L15" s="17" t="s">
        <v>212</v>
      </c>
      <c r="M15" s="17"/>
      <c r="N15" s="17"/>
    </row>
    <row r="16" ht="42.0" customHeight="1">
      <c r="A16" s="10" t="s">
        <v>215</v>
      </c>
      <c r="B16" s="12" t="s">
        <v>48</v>
      </c>
      <c r="C16" s="10" t="s">
        <v>204</v>
      </c>
      <c r="D16" s="10" t="s">
        <v>216</v>
      </c>
      <c r="E16" s="10"/>
      <c r="F16" s="10" t="s">
        <v>217</v>
      </c>
      <c r="G16" s="13" t="s">
        <v>45</v>
      </c>
      <c r="H16" s="13" t="s">
        <v>26</v>
      </c>
      <c r="I16" s="38" t="s">
        <v>75</v>
      </c>
      <c r="J16" s="39">
        <v>46246.0</v>
      </c>
      <c r="K16" s="16" t="s">
        <v>218</v>
      </c>
      <c r="L16" s="16" t="s">
        <v>219</v>
      </c>
      <c r="M16" s="10"/>
      <c r="N16" s="10"/>
    </row>
    <row r="17" ht="42.0" customHeight="1">
      <c r="A17" s="17" t="s">
        <v>220</v>
      </c>
      <c r="B17" s="18" t="s">
        <v>48</v>
      </c>
      <c r="C17" s="17" t="s">
        <v>204</v>
      </c>
      <c r="D17" s="17" t="s">
        <v>221</v>
      </c>
      <c r="E17" s="17"/>
      <c r="F17" s="17" t="s">
        <v>222</v>
      </c>
      <c r="G17" s="19" t="s">
        <v>45</v>
      </c>
      <c r="H17" s="19" t="s">
        <v>26</v>
      </c>
      <c r="I17" s="40" t="s">
        <v>139</v>
      </c>
      <c r="J17" s="41">
        <v>46246.0</v>
      </c>
      <c r="K17" s="22" t="s">
        <v>218</v>
      </c>
      <c r="L17" s="22" t="s">
        <v>223</v>
      </c>
      <c r="M17" s="17"/>
      <c r="N17" s="17"/>
    </row>
    <row r="18" ht="42.0" customHeight="1">
      <c r="A18" s="10" t="s">
        <v>224</v>
      </c>
      <c r="B18" s="12" t="s">
        <v>48</v>
      </c>
      <c r="C18" s="10" t="s">
        <v>204</v>
      </c>
      <c r="D18" s="10" t="s">
        <v>225</v>
      </c>
      <c r="E18" s="10"/>
      <c r="F18" s="10" t="s">
        <v>226</v>
      </c>
      <c r="G18" s="13" t="s">
        <v>45</v>
      </c>
      <c r="H18" s="13" t="s">
        <v>26</v>
      </c>
      <c r="I18" s="38" t="s">
        <v>75</v>
      </c>
      <c r="J18" s="39">
        <v>46246.0</v>
      </c>
      <c r="K18" s="16" t="s">
        <v>218</v>
      </c>
      <c r="L18" s="16" t="s">
        <v>227</v>
      </c>
      <c r="M18" s="10"/>
      <c r="N18" s="10"/>
    </row>
    <row r="19" ht="42.0" customHeight="1">
      <c r="A19" s="17" t="s">
        <v>228</v>
      </c>
      <c r="B19" s="18" t="s">
        <v>48</v>
      </c>
      <c r="C19" s="17" t="s">
        <v>204</v>
      </c>
      <c r="D19" s="17" t="s">
        <v>229</v>
      </c>
      <c r="E19" s="17"/>
      <c r="F19" s="17" t="s">
        <v>230</v>
      </c>
      <c r="G19" s="19" t="s">
        <v>45</v>
      </c>
      <c r="H19" s="19" t="s">
        <v>26</v>
      </c>
      <c r="I19" s="40" t="s">
        <v>75</v>
      </c>
      <c r="J19" s="41">
        <v>46246.0</v>
      </c>
      <c r="K19" s="22" t="s">
        <v>218</v>
      </c>
      <c r="L19" s="22" t="s">
        <v>231</v>
      </c>
      <c r="M19" s="17"/>
      <c r="N19" s="17"/>
    </row>
    <row r="20" ht="42.0" customHeight="1">
      <c r="A20" s="10" t="s">
        <v>232</v>
      </c>
      <c r="B20" s="12" t="s">
        <v>48</v>
      </c>
      <c r="C20" s="10" t="s">
        <v>204</v>
      </c>
      <c r="D20" s="10" t="s">
        <v>233</v>
      </c>
      <c r="E20" s="10"/>
      <c r="F20" s="10" t="s">
        <v>234</v>
      </c>
      <c r="G20" s="13" t="s">
        <v>45</v>
      </c>
      <c r="H20" s="13" t="s">
        <v>26</v>
      </c>
      <c r="I20" s="38" t="s">
        <v>139</v>
      </c>
      <c r="J20" s="39">
        <v>46246.0</v>
      </c>
      <c r="K20" s="16" t="s">
        <v>218</v>
      </c>
      <c r="L20" s="16" t="s">
        <v>235</v>
      </c>
      <c r="M20" s="10"/>
      <c r="N20" s="10"/>
    </row>
    <row r="21" ht="42.0" customHeight="1">
      <c r="A21" s="17" t="s">
        <v>236</v>
      </c>
      <c r="B21" s="18" t="s">
        <v>48</v>
      </c>
      <c r="C21" s="17" t="s">
        <v>204</v>
      </c>
      <c r="D21" s="17" t="s">
        <v>237</v>
      </c>
      <c r="E21" s="17"/>
      <c r="F21" s="17" t="s">
        <v>238</v>
      </c>
      <c r="G21" s="19" t="s">
        <v>45</v>
      </c>
      <c r="H21" s="19" t="s">
        <v>26</v>
      </c>
      <c r="I21" s="40" t="s">
        <v>75</v>
      </c>
      <c r="J21" s="41">
        <v>46246.0</v>
      </c>
      <c r="K21" s="22" t="s">
        <v>218</v>
      </c>
      <c r="L21" s="22" t="s">
        <v>239</v>
      </c>
      <c r="M21" s="17"/>
      <c r="N21" s="17"/>
    </row>
    <row r="22" ht="42.0" customHeight="1">
      <c r="A22" s="10" t="s">
        <v>240</v>
      </c>
      <c r="B22" s="12" t="s">
        <v>48</v>
      </c>
      <c r="C22" s="10" t="s">
        <v>61</v>
      </c>
      <c r="D22" s="10" t="s">
        <v>241</v>
      </c>
      <c r="E22" s="10" t="s">
        <v>242</v>
      </c>
      <c r="F22" s="10" t="s">
        <v>243</v>
      </c>
      <c r="G22" s="13" t="s">
        <v>24</v>
      </c>
      <c r="H22" s="13" t="s">
        <v>26</v>
      </c>
      <c r="I22" s="38" t="s">
        <v>139</v>
      </c>
      <c r="J22" s="39">
        <v>46246.0</v>
      </c>
      <c r="K22" s="16" t="s">
        <v>218</v>
      </c>
      <c r="L22" s="16" t="s">
        <v>244</v>
      </c>
      <c r="M22" s="10"/>
      <c r="N22" s="10"/>
    </row>
    <row r="23" ht="42.0" customHeight="1">
      <c r="A23" s="17" t="s">
        <v>245</v>
      </c>
      <c r="B23" s="18" t="s">
        <v>48</v>
      </c>
      <c r="C23" s="17" t="s">
        <v>61</v>
      </c>
      <c r="D23" s="17" t="s">
        <v>246</v>
      </c>
      <c r="E23" s="17" t="s">
        <v>247</v>
      </c>
      <c r="F23" s="17" t="s">
        <v>248</v>
      </c>
      <c r="G23" s="19" t="s">
        <v>24</v>
      </c>
      <c r="H23" s="19" t="s">
        <v>26</v>
      </c>
      <c r="I23" s="40" t="s">
        <v>139</v>
      </c>
      <c r="J23" s="41">
        <v>46246.0</v>
      </c>
      <c r="K23" s="22" t="s">
        <v>218</v>
      </c>
      <c r="L23" s="22" t="s">
        <v>249</v>
      </c>
      <c r="M23" s="17"/>
      <c r="N23" s="17"/>
    </row>
    <row r="24" ht="42.0" customHeight="1">
      <c r="A24" s="10" t="s">
        <v>250</v>
      </c>
      <c r="B24" s="12" t="s">
        <v>48</v>
      </c>
      <c r="C24" s="10" t="s">
        <v>61</v>
      </c>
      <c r="D24" s="10" t="s">
        <v>251</v>
      </c>
      <c r="E24" s="10" t="s">
        <v>252</v>
      </c>
      <c r="F24" s="10" t="s">
        <v>253</v>
      </c>
      <c r="G24" s="13" t="s">
        <v>24</v>
      </c>
      <c r="H24" s="13" t="s">
        <v>26</v>
      </c>
      <c r="I24" s="38" t="s">
        <v>75</v>
      </c>
      <c r="J24" s="39">
        <v>46246.0</v>
      </c>
      <c r="K24" s="16" t="s">
        <v>218</v>
      </c>
      <c r="L24" s="16" t="s">
        <v>254</v>
      </c>
      <c r="M24" s="10"/>
      <c r="N24" s="10"/>
    </row>
    <row r="25" ht="42.0" customHeight="1">
      <c r="A25" s="17" t="s">
        <v>255</v>
      </c>
      <c r="B25" s="18" t="s">
        <v>48</v>
      </c>
      <c r="C25" s="17" t="s">
        <v>61</v>
      </c>
      <c r="D25" s="17" t="s">
        <v>256</v>
      </c>
      <c r="E25" s="17" t="s">
        <v>257</v>
      </c>
      <c r="F25" s="17" t="s">
        <v>258</v>
      </c>
      <c r="G25" s="19" t="s">
        <v>24</v>
      </c>
      <c r="H25" s="19" t="s">
        <v>26</v>
      </c>
      <c r="I25" s="40" t="s">
        <v>75</v>
      </c>
      <c r="J25" s="41">
        <v>46246.0</v>
      </c>
      <c r="K25" s="22" t="s">
        <v>218</v>
      </c>
      <c r="L25" s="22" t="s">
        <v>254</v>
      </c>
      <c r="M25" s="17"/>
      <c r="N25" s="17"/>
    </row>
    <row r="26" ht="42.0" customHeight="1">
      <c r="A26" s="10" t="s">
        <v>259</v>
      </c>
      <c r="B26" s="12" t="s">
        <v>48</v>
      </c>
      <c r="C26" s="10" t="s">
        <v>61</v>
      </c>
      <c r="D26" s="10" t="s">
        <v>260</v>
      </c>
      <c r="E26" s="10" t="s">
        <v>261</v>
      </c>
      <c r="F26" s="10" t="s">
        <v>262</v>
      </c>
      <c r="G26" s="13" t="s">
        <v>24</v>
      </c>
      <c r="H26" s="13" t="s">
        <v>26</v>
      </c>
      <c r="I26" s="38" t="s">
        <v>139</v>
      </c>
      <c r="J26" s="39">
        <v>46246.0</v>
      </c>
      <c r="K26" s="16" t="s">
        <v>218</v>
      </c>
      <c r="L26" s="16" t="s">
        <v>263</v>
      </c>
      <c r="M26" s="10"/>
      <c r="N26" s="10"/>
    </row>
    <row r="27" ht="42.0" customHeight="1">
      <c r="A27" s="17" t="s">
        <v>264</v>
      </c>
      <c r="B27" s="18" t="s">
        <v>48</v>
      </c>
      <c r="C27" s="17" t="s">
        <v>61</v>
      </c>
      <c r="D27" s="17" t="s">
        <v>265</v>
      </c>
      <c r="E27" s="17" t="s">
        <v>266</v>
      </c>
      <c r="F27" s="17" t="s">
        <v>267</v>
      </c>
      <c r="G27" s="19" t="s">
        <v>24</v>
      </c>
      <c r="H27" s="19" t="s">
        <v>26</v>
      </c>
      <c r="I27" s="40" t="s">
        <v>139</v>
      </c>
      <c r="J27" s="41">
        <v>46246.0</v>
      </c>
      <c r="K27" s="22" t="s">
        <v>218</v>
      </c>
      <c r="L27" s="22" t="s">
        <v>268</v>
      </c>
      <c r="M27" s="17"/>
      <c r="N27" s="17"/>
    </row>
    <row r="28" ht="42.0" customHeight="1">
      <c r="A28" s="10" t="s">
        <v>269</v>
      </c>
      <c r="B28" s="12" t="s">
        <v>48</v>
      </c>
      <c r="C28" s="10" t="s">
        <v>61</v>
      </c>
      <c r="D28" s="10" t="s">
        <v>270</v>
      </c>
      <c r="E28" s="10" t="s">
        <v>271</v>
      </c>
      <c r="F28" s="10" t="s">
        <v>272</v>
      </c>
      <c r="G28" s="13" t="s">
        <v>24</v>
      </c>
      <c r="H28" s="13" t="s">
        <v>26</v>
      </c>
      <c r="I28" s="38" t="s">
        <v>75</v>
      </c>
      <c r="J28" s="39">
        <v>46246.0</v>
      </c>
      <c r="K28" s="16" t="s">
        <v>218</v>
      </c>
      <c r="L28" s="16" t="s">
        <v>273</v>
      </c>
      <c r="M28" s="10"/>
      <c r="N28" s="10"/>
    </row>
    <row r="29" ht="42.0" customHeight="1">
      <c r="A29" s="17" t="s">
        <v>274</v>
      </c>
      <c r="B29" s="18" t="s">
        <v>48</v>
      </c>
      <c r="C29" s="17" t="s">
        <v>61</v>
      </c>
      <c r="D29" s="17" t="s">
        <v>275</v>
      </c>
      <c r="E29" s="17" t="s">
        <v>276</v>
      </c>
      <c r="F29" s="17" t="s">
        <v>277</v>
      </c>
      <c r="G29" s="19" t="s">
        <v>24</v>
      </c>
      <c r="H29" s="19" t="s">
        <v>26</v>
      </c>
      <c r="I29" s="40" t="s">
        <v>75</v>
      </c>
      <c r="J29" s="41">
        <v>46246.0</v>
      </c>
      <c r="K29" s="22" t="s">
        <v>218</v>
      </c>
      <c r="L29" s="22" t="s">
        <v>278</v>
      </c>
      <c r="M29" s="17"/>
      <c r="N29" s="17"/>
    </row>
    <row r="30" ht="42.0" customHeight="1">
      <c r="A30" s="10" t="s">
        <v>279</v>
      </c>
      <c r="B30" s="12" t="s">
        <v>48</v>
      </c>
      <c r="C30" s="10" t="s">
        <v>61</v>
      </c>
      <c r="D30" s="10" t="s">
        <v>280</v>
      </c>
      <c r="E30" s="10" t="s">
        <v>281</v>
      </c>
      <c r="F30" s="10" t="s">
        <v>282</v>
      </c>
      <c r="G30" s="13" t="s">
        <v>24</v>
      </c>
      <c r="H30" s="13" t="s">
        <v>26</v>
      </c>
      <c r="I30" s="38" t="s">
        <v>75</v>
      </c>
      <c r="J30" s="39">
        <v>46246.0</v>
      </c>
      <c r="K30" s="16" t="s">
        <v>218</v>
      </c>
      <c r="L30" s="16" t="s">
        <v>283</v>
      </c>
      <c r="M30" s="10"/>
      <c r="N30" s="10"/>
    </row>
    <row r="31" ht="42.0" customHeight="1">
      <c r="A31" s="17" t="s">
        <v>284</v>
      </c>
      <c r="B31" s="18" t="s">
        <v>48</v>
      </c>
      <c r="C31" s="17" t="s">
        <v>61</v>
      </c>
      <c r="D31" s="17" t="s">
        <v>285</v>
      </c>
      <c r="E31" s="17" t="s">
        <v>286</v>
      </c>
      <c r="F31" s="17" t="s">
        <v>287</v>
      </c>
      <c r="G31" s="19" t="s">
        <v>24</v>
      </c>
      <c r="H31" s="19" t="s">
        <v>26</v>
      </c>
      <c r="I31" s="40" t="s">
        <v>75</v>
      </c>
      <c r="J31" s="41">
        <v>46246.0</v>
      </c>
      <c r="K31" s="22" t="s">
        <v>218</v>
      </c>
      <c r="L31" s="22" t="s">
        <v>288</v>
      </c>
      <c r="M31" s="17"/>
      <c r="N31" s="17"/>
    </row>
    <row r="32" ht="42.0" customHeight="1">
      <c r="A32" s="10" t="s">
        <v>289</v>
      </c>
      <c r="B32" s="12" t="s">
        <v>48</v>
      </c>
      <c r="C32" s="10" t="s">
        <v>61</v>
      </c>
      <c r="D32" s="10" t="s">
        <v>290</v>
      </c>
      <c r="E32" s="10" t="s">
        <v>291</v>
      </c>
      <c r="F32" s="10" t="s">
        <v>292</v>
      </c>
      <c r="G32" s="13" t="s">
        <v>24</v>
      </c>
      <c r="H32" s="13" t="s">
        <v>26</v>
      </c>
      <c r="I32" s="38" t="s">
        <v>139</v>
      </c>
      <c r="J32" s="39">
        <v>46246.0</v>
      </c>
      <c r="K32" s="16" t="s">
        <v>218</v>
      </c>
      <c r="L32" s="16" t="s">
        <v>293</v>
      </c>
      <c r="M32" s="10"/>
      <c r="N32" s="10"/>
    </row>
    <row r="33" ht="42.0" customHeight="1">
      <c r="A33" s="17" t="s">
        <v>294</v>
      </c>
      <c r="B33" s="18" t="s">
        <v>48</v>
      </c>
      <c r="C33" s="17" t="s">
        <v>61</v>
      </c>
      <c r="D33" s="17" t="s">
        <v>295</v>
      </c>
      <c r="E33" s="17" t="s">
        <v>296</v>
      </c>
      <c r="F33" s="17" t="s">
        <v>297</v>
      </c>
      <c r="G33" s="19" t="s">
        <v>24</v>
      </c>
      <c r="H33" s="19" t="s">
        <v>26</v>
      </c>
      <c r="I33" s="40" t="s">
        <v>139</v>
      </c>
      <c r="J33" s="41">
        <v>46246.0</v>
      </c>
      <c r="K33" s="22" t="s">
        <v>218</v>
      </c>
      <c r="L33" s="22" t="s">
        <v>298</v>
      </c>
      <c r="M33" s="17"/>
      <c r="N33" s="17"/>
    </row>
    <row r="34" ht="42.0" customHeight="1">
      <c r="A34" s="10" t="s">
        <v>299</v>
      </c>
      <c r="B34" s="12" t="s">
        <v>48</v>
      </c>
      <c r="C34" s="10" t="s">
        <v>61</v>
      </c>
      <c r="D34" s="10" t="s">
        <v>300</v>
      </c>
      <c r="E34" s="10" t="s">
        <v>301</v>
      </c>
      <c r="F34" s="10" t="s">
        <v>302</v>
      </c>
      <c r="G34" s="13" t="s">
        <v>24</v>
      </c>
      <c r="H34" s="13" t="s">
        <v>26</v>
      </c>
      <c r="I34" s="38" t="s">
        <v>139</v>
      </c>
      <c r="J34" s="39">
        <v>46246.0</v>
      </c>
      <c r="K34" s="16" t="s">
        <v>218</v>
      </c>
      <c r="L34" s="16" t="s">
        <v>303</v>
      </c>
      <c r="M34" s="10"/>
      <c r="N34" s="10"/>
    </row>
    <row r="35" ht="42.0" hidden="1" customHeight="1">
      <c r="A35" s="17" t="s">
        <v>304</v>
      </c>
      <c r="B35" s="18" t="s">
        <v>48</v>
      </c>
      <c r="C35" s="17" t="s">
        <v>70</v>
      </c>
      <c r="D35" s="17" t="s">
        <v>241</v>
      </c>
      <c r="E35" s="17" t="s">
        <v>305</v>
      </c>
      <c r="F35" s="17" t="s">
        <v>306</v>
      </c>
      <c r="G35" s="19" t="s">
        <v>24</v>
      </c>
      <c r="H35" s="19" t="s">
        <v>46</v>
      </c>
      <c r="I35" s="40" t="s">
        <v>139</v>
      </c>
      <c r="J35" s="41">
        <v>46246.0</v>
      </c>
      <c r="K35" s="22" t="s">
        <v>218</v>
      </c>
      <c r="L35" s="22" t="s">
        <v>307</v>
      </c>
      <c r="M35" s="17"/>
      <c r="N35" s="17"/>
    </row>
    <row r="36" ht="42.0" hidden="1" customHeight="1">
      <c r="A36" s="10" t="s">
        <v>308</v>
      </c>
      <c r="B36" s="12" t="s">
        <v>48</v>
      </c>
      <c r="C36" s="10" t="s">
        <v>70</v>
      </c>
      <c r="D36" s="10" t="s">
        <v>246</v>
      </c>
      <c r="E36" s="10" t="s">
        <v>309</v>
      </c>
      <c r="F36" s="10" t="s">
        <v>248</v>
      </c>
      <c r="G36" s="13" t="s">
        <v>24</v>
      </c>
      <c r="H36" s="13" t="s">
        <v>46</v>
      </c>
      <c r="I36" s="38" t="s">
        <v>139</v>
      </c>
      <c r="J36" s="39">
        <v>46246.0</v>
      </c>
      <c r="K36" s="16" t="s">
        <v>218</v>
      </c>
      <c r="L36" s="16" t="s">
        <v>310</v>
      </c>
      <c r="M36" s="10"/>
      <c r="N36" s="10"/>
    </row>
    <row r="37" ht="42.0" hidden="1" customHeight="1">
      <c r="A37" s="17" t="s">
        <v>311</v>
      </c>
      <c r="B37" s="18" t="s">
        <v>48</v>
      </c>
      <c r="C37" s="17" t="s">
        <v>70</v>
      </c>
      <c r="D37" s="17" t="s">
        <v>312</v>
      </c>
      <c r="E37" s="17" t="s">
        <v>313</v>
      </c>
      <c r="F37" s="17" t="s">
        <v>314</v>
      </c>
      <c r="G37" s="19" t="s">
        <v>24</v>
      </c>
      <c r="H37" s="19" t="s">
        <v>46</v>
      </c>
      <c r="I37" s="40" t="s">
        <v>75</v>
      </c>
      <c r="J37" s="41">
        <v>46246.0</v>
      </c>
      <c r="K37" s="22" t="s">
        <v>218</v>
      </c>
      <c r="L37" s="22" t="s">
        <v>315</v>
      </c>
      <c r="M37" s="17"/>
      <c r="N37" s="17"/>
    </row>
    <row r="38" ht="42.0" hidden="1" customHeight="1">
      <c r="A38" s="10" t="s">
        <v>316</v>
      </c>
      <c r="B38" s="12" t="s">
        <v>48</v>
      </c>
      <c r="C38" s="10" t="s">
        <v>70</v>
      </c>
      <c r="D38" s="10" t="s">
        <v>317</v>
      </c>
      <c r="E38" s="10" t="s">
        <v>318</v>
      </c>
      <c r="F38" s="10" t="s">
        <v>262</v>
      </c>
      <c r="G38" s="13" t="s">
        <v>24</v>
      </c>
      <c r="H38" s="13" t="s">
        <v>46</v>
      </c>
      <c r="I38" s="38" t="s">
        <v>75</v>
      </c>
      <c r="J38" s="39">
        <v>46246.0</v>
      </c>
      <c r="K38" s="16" t="s">
        <v>218</v>
      </c>
      <c r="L38" s="16" t="s">
        <v>315</v>
      </c>
      <c r="M38" s="10"/>
      <c r="N38" s="10"/>
    </row>
    <row r="39" ht="42.0" hidden="1" customHeight="1">
      <c r="A39" s="17" t="s">
        <v>319</v>
      </c>
      <c r="B39" s="18" t="s">
        <v>48</v>
      </c>
      <c r="C39" s="17" t="s">
        <v>70</v>
      </c>
      <c r="D39" s="17" t="s">
        <v>320</v>
      </c>
      <c r="E39" s="17" t="s">
        <v>321</v>
      </c>
      <c r="F39" s="17" t="s">
        <v>322</v>
      </c>
      <c r="G39" s="19" t="s">
        <v>24</v>
      </c>
      <c r="H39" s="19" t="s">
        <v>46</v>
      </c>
      <c r="I39" s="40" t="s">
        <v>139</v>
      </c>
      <c r="J39" s="41">
        <v>46246.0</v>
      </c>
      <c r="K39" s="22" t="s">
        <v>218</v>
      </c>
      <c r="L39" s="22" t="s">
        <v>310</v>
      </c>
      <c r="M39" s="17"/>
      <c r="N39" s="17"/>
    </row>
    <row r="40" ht="42.0" hidden="1" customHeight="1">
      <c r="A40" s="10" t="s">
        <v>323</v>
      </c>
      <c r="B40" s="12" t="s">
        <v>48</v>
      </c>
      <c r="C40" s="10" t="s">
        <v>70</v>
      </c>
      <c r="D40" s="10" t="s">
        <v>265</v>
      </c>
      <c r="E40" s="10" t="s">
        <v>324</v>
      </c>
      <c r="F40" s="10" t="s">
        <v>325</v>
      </c>
      <c r="G40" s="13" t="s">
        <v>24</v>
      </c>
      <c r="H40" s="13" t="s">
        <v>46</v>
      </c>
      <c r="I40" s="38" t="s">
        <v>139</v>
      </c>
      <c r="J40" s="39">
        <v>46246.0</v>
      </c>
      <c r="K40" s="16" t="s">
        <v>218</v>
      </c>
      <c r="L40" s="16" t="s">
        <v>326</v>
      </c>
      <c r="M40" s="10"/>
      <c r="N40" s="10"/>
    </row>
    <row r="41" ht="42.0" hidden="1" customHeight="1">
      <c r="A41" s="17" t="s">
        <v>327</v>
      </c>
      <c r="B41" s="18" t="s">
        <v>48</v>
      </c>
      <c r="C41" s="17" t="s">
        <v>70</v>
      </c>
      <c r="D41" s="17" t="s">
        <v>270</v>
      </c>
      <c r="E41" s="17" t="s">
        <v>328</v>
      </c>
      <c r="F41" s="17" t="s">
        <v>329</v>
      </c>
      <c r="G41" s="19" t="s">
        <v>24</v>
      </c>
      <c r="H41" s="19" t="s">
        <v>46</v>
      </c>
      <c r="I41" s="40" t="s">
        <v>139</v>
      </c>
      <c r="J41" s="41">
        <v>46246.0</v>
      </c>
      <c r="K41" s="22" t="s">
        <v>218</v>
      </c>
      <c r="L41" s="22" t="s">
        <v>310</v>
      </c>
      <c r="M41" s="17"/>
      <c r="N41" s="17"/>
    </row>
    <row r="42" ht="42.0" hidden="1" customHeight="1">
      <c r="A42" s="10" t="s">
        <v>330</v>
      </c>
      <c r="B42" s="12" t="s">
        <v>48</v>
      </c>
      <c r="C42" s="10" t="s">
        <v>70</v>
      </c>
      <c r="D42" s="10" t="s">
        <v>275</v>
      </c>
      <c r="E42" s="10" t="s">
        <v>331</v>
      </c>
      <c r="F42" s="10" t="s">
        <v>332</v>
      </c>
      <c r="G42" s="13" t="s">
        <v>24</v>
      </c>
      <c r="H42" s="13" t="s">
        <v>46</v>
      </c>
      <c r="I42" s="38" t="s">
        <v>75</v>
      </c>
      <c r="J42" s="39">
        <v>46246.0</v>
      </c>
      <c r="K42" s="16" t="s">
        <v>218</v>
      </c>
      <c r="L42" s="16" t="s">
        <v>315</v>
      </c>
      <c r="M42" s="10"/>
      <c r="N42" s="10"/>
    </row>
    <row r="43" ht="42.0" hidden="1" customHeight="1">
      <c r="A43" s="17" t="s">
        <v>333</v>
      </c>
      <c r="B43" s="18" t="s">
        <v>48</v>
      </c>
      <c r="C43" s="17" t="s">
        <v>70</v>
      </c>
      <c r="D43" s="17" t="s">
        <v>280</v>
      </c>
      <c r="E43" s="17" t="s">
        <v>334</v>
      </c>
      <c r="F43" s="17" t="s">
        <v>335</v>
      </c>
      <c r="G43" s="19" t="s">
        <v>24</v>
      </c>
      <c r="H43" s="19" t="s">
        <v>46</v>
      </c>
      <c r="I43" s="40" t="s">
        <v>139</v>
      </c>
      <c r="J43" s="41">
        <v>46246.0</v>
      </c>
      <c r="K43" s="22" t="s">
        <v>218</v>
      </c>
      <c r="L43" s="22" t="s">
        <v>336</v>
      </c>
      <c r="M43" s="17"/>
      <c r="N43" s="17"/>
    </row>
    <row r="44" ht="42.0" hidden="1" customHeight="1">
      <c r="A44" s="10" t="s">
        <v>337</v>
      </c>
      <c r="B44" s="12" t="s">
        <v>48</v>
      </c>
      <c r="C44" s="10" t="s">
        <v>70</v>
      </c>
      <c r="D44" s="10" t="s">
        <v>338</v>
      </c>
      <c r="E44" s="10" t="s">
        <v>339</v>
      </c>
      <c r="F44" s="10" t="s">
        <v>340</v>
      </c>
      <c r="G44" s="13" t="s">
        <v>24</v>
      </c>
      <c r="H44" s="13" t="s">
        <v>46</v>
      </c>
      <c r="I44" s="38" t="s">
        <v>139</v>
      </c>
      <c r="J44" s="39">
        <v>46246.0</v>
      </c>
      <c r="K44" s="16" t="s">
        <v>218</v>
      </c>
      <c r="L44" s="16" t="s">
        <v>336</v>
      </c>
      <c r="M44" s="10"/>
      <c r="N44" s="10"/>
    </row>
    <row r="45" ht="42.0" hidden="1" customHeight="1">
      <c r="A45" s="17" t="s">
        <v>341</v>
      </c>
      <c r="B45" s="18" t="s">
        <v>48</v>
      </c>
      <c r="C45" s="17" t="s">
        <v>70</v>
      </c>
      <c r="D45" s="17" t="s">
        <v>342</v>
      </c>
      <c r="E45" s="17" t="s">
        <v>343</v>
      </c>
      <c r="F45" s="17" t="s">
        <v>344</v>
      </c>
      <c r="G45" s="19" t="s">
        <v>24</v>
      </c>
      <c r="H45" s="19" t="s">
        <v>46</v>
      </c>
      <c r="I45" s="40" t="s">
        <v>139</v>
      </c>
      <c r="J45" s="41">
        <v>46246.0</v>
      </c>
      <c r="K45" s="22" t="s">
        <v>218</v>
      </c>
      <c r="L45" s="22" t="s">
        <v>345</v>
      </c>
      <c r="M45" s="17"/>
      <c r="N45" s="17"/>
    </row>
    <row r="46" ht="42.0" hidden="1" customHeight="1">
      <c r="A46" s="10" t="s">
        <v>346</v>
      </c>
      <c r="B46" s="12" t="s">
        <v>48</v>
      </c>
      <c r="C46" s="10" t="s">
        <v>70</v>
      </c>
      <c r="D46" s="10" t="s">
        <v>347</v>
      </c>
      <c r="E46" s="10" t="s">
        <v>348</v>
      </c>
      <c r="F46" s="10" t="s">
        <v>349</v>
      </c>
      <c r="G46" s="13" t="s">
        <v>24</v>
      </c>
      <c r="H46" s="13" t="s">
        <v>46</v>
      </c>
      <c r="I46" s="38" t="s">
        <v>139</v>
      </c>
      <c r="J46" s="39">
        <v>46246.0</v>
      </c>
      <c r="K46" s="16" t="s">
        <v>218</v>
      </c>
      <c r="L46" s="16" t="s">
        <v>310</v>
      </c>
      <c r="M46" s="10"/>
      <c r="N46" s="10"/>
    </row>
    <row r="47" ht="42.0" hidden="1" customHeight="1">
      <c r="A47" s="17" t="s">
        <v>350</v>
      </c>
      <c r="B47" s="18" t="s">
        <v>48</v>
      </c>
      <c r="C47" s="17" t="s">
        <v>70</v>
      </c>
      <c r="D47" s="17" t="s">
        <v>351</v>
      </c>
      <c r="E47" s="17" t="s">
        <v>352</v>
      </c>
      <c r="F47" s="17" t="s">
        <v>353</v>
      </c>
      <c r="G47" s="19" t="s">
        <v>24</v>
      </c>
      <c r="H47" s="19" t="s">
        <v>46</v>
      </c>
      <c r="I47" s="40" t="s">
        <v>139</v>
      </c>
      <c r="J47" s="41">
        <v>46246.0</v>
      </c>
      <c r="K47" s="22" t="s">
        <v>218</v>
      </c>
      <c r="L47" s="22" t="s">
        <v>310</v>
      </c>
      <c r="M47" s="17"/>
      <c r="N47" s="17"/>
    </row>
    <row r="48" ht="42.0" hidden="1" customHeight="1">
      <c r="A48" s="10" t="s">
        <v>354</v>
      </c>
      <c r="B48" s="12" t="s">
        <v>48</v>
      </c>
      <c r="C48" s="10" t="s">
        <v>88</v>
      </c>
      <c r="D48" s="10" t="s">
        <v>355</v>
      </c>
      <c r="E48" s="10" t="s">
        <v>356</v>
      </c>
      <c r="F48" s="10" t="s">
        <v>357</v>
      </c>
      <c r="G48" s="13" t="s">
        <v>358</v>
      </c>
      <c r="H48" s="13" t="s">
        <v>65</v>
      </c>
      <c r="I48" s="38" t="s">
        <v>139</v>
      </c>
      <c r="J48" s="39">
        <v>46233.0</v>
      </c>
      <c r="K48" s="16" t="s">
        <v>91</v>
      </c>
      <c r="L48" s="16" t="s">
        <v>359</v>
      </c>
      <c r="M48" s="16"/>
      <c r="N48" s="16" t="s">
        <v>360</v>
      </c>
    </row>
    <row r="49" ht="42.0" hidden="1" customHeight="1">
      <c r="A49" s="17" t="s">
        <v>361</v>
      </c>
      <c r="B49" s="18" t="s">
        <v>48</v>
      </c>
      <c r="C49" s="17" t="s">
        <v>88</v>
      </c>
      <c r="D49" s="17" t="s">
        <v>362</v>
      </c>
      <c r="E49" s="17" t="s">
        <v>363</v>
      </c>
      <c r="F49" s="17" t="s">
        <v>364</v>
      </c>
      <c r="G49" s="19" t="s">
        <v>358</v>
      </c>
      <c r="H49" s="19" t="s">
        <v>65</v>
      </c>
      <c r="I49" s="40" t="s">
        <v>75</v>
      </c>
      <c r="J49" s="41">
        <v>46233.0</v>
      </c>
      <c r="K49" s="22" t="s">
        <v>91</v>
      </c>
      <c r="L49" s="22" t="s">
        <v>365</v>
      </c>
      <c r="M49" s="17"/>
      <c r="N49" s="17"/>
    </row>
    <row r="50" ht="42.0" hidden="1" customHeight="1">
      <c r="A50" s="10" t="s">
        <v>366</v>
      </c>
      <c r="B50" s="12" t="s">
        <v>48</v>
      </c>
      <c r="C50" s="10" t="s">
        <v>88</v>
      </c>
      <c r="D50" s="10" t="s">
        <v>367</v>
      </c>
      <c r="E50" s="10" t="s">
        <v>368</v>
      </c>
      <c r="F50" s="10" t="s">
        <v>369</v>
      </c>
      <c r="G50" s="13" t="s">
        <v>358</v>
      </c>
      <c r="H50" s="13" t="s">
        <v>65</v>
      </c>
      <c r="I50" s="38" t="s">
        <v>139</v>
      </c>
      <c r="J50" s="39">
        <v>46233.0</v>
      </c>
      <c r="K50" s="16" t="s">
        <v>91</v>
      </c>
      <c r="L50" s="16" t="s">
        <v>370</v>
      </c>
      <c r="M50" s="10"/>
      <c r="N50" s="10"/>
    </row>
    <row r="51" ht="42.0" hidden="1" customHeight="1">
      <c r="A51" s="17" t="s">
        <v>371</v>
      </c>
      <c r="B51" s="18" t="s">
        <v>48</v>
      </c>
      <c r="C51" s="17" t="s">
        <v>88</v>
      </c>
      <c r="D51" s="17" t="s">
        <v>372</v>
      </c>
      <c r="E51" s="17" t="s">
        <v>373</v>
      </c>
      <c r="F51" s="17" t="s">
        <v>374</v>
      </c>
      <c r="G51" s="19" t="s">
        <v>358</v>
      </c>
      <c r="H51" s="19" t="s">
        <v>65</v>
      </c>
      <c r="I51" s="40" t="s">
        <v>139</v>
      </c>
      <c r="J51" s="41">
        <v>46233.0</v>
      </c>
      <c r="K51" s="22" t="s">
        <v>91</v>
      </c>
      <c r="L51" s="22" t="s">
        <v>375</v>
      </c>
      <c r="M51" s="17"/>
      <c r="N51" s="17"/>
    </row>
    <row r="52" ht="42.0" hidden="1" customHeight="1">
      <c r="A52" s="10" t="s">
        <v>376</v>
      </c>
      <c r="B52" s="12" t="s">
        <v>48</v>
      </c>
      <c r="C52" s="10" t="s">
        <v>88</v>
      </c>
      <c r="D52" s="10" t="s">
        <v>377</v>
      </c>
      <c r="E52" s="10" t="s">
        <v>378</v>
      </c>
      <c r="F52" s="10" t="s">
        <v>379</v>
      </c>
      <c r="G52" s="13" t="s">
        <v>358</v>
      </c>
      <c r="H52" s="13" t="s">
        <v>65</v>
      </c>
      <c r="I52" s="38" t="s">
        <v>139</v>
      </c>
      <c r="J52" s="39">
        <v>46233.0</v>
      </c>
      <c r="K52" s="16" t="s">
        <v>91</v>
      </c>
      <c r="L52" s="16" t="s">
        <v>380</v>
      </c>
      <c r="M52" s="10"/>
      <c r="N52" s="10"/>
    </row>
    <row r="53" ht="42.0" hidden="1" customHeight="1">
      <c r="A53" s="17" t="s">
        <v>381</v>
      </c>
      <c r="B53" s="18" t="s">
        <v>48</v>
      </c>
      <c r="C53" s="17" t="s">
        <v>88</v>
      </c>
      <c r="D53" s="17" t="s">
        <v>382</v>
      </c>
      <c r="E53" s="17" t="s">
        <v>383</v>
      </c>
      <c r="F53" s="17" t="s">
        <v>384</v>
      </c>
      <c r="G53" s="19" t="s">
        <v>358</v>
      </c>
      <c r="H53" s="19" t="s">
        <v>65</v>
      </c>
      <c r="I53" s="40" t="s">
        <v>139</v>
      </c>
      <c r="J53" s="41">
        <v>46233.0</v>
      </c>
      <c r="K53" s="22" t="s">
        <v>91</v>
      </c>
      <c r="L53" s="22" t="s">
        <v>385</v>
      </c>
      <c r="M53" s="17"/>
      <c r="N53" s="22" t="s">
        <v>386</v>
      </c>
    </row>
    <row r="54" ht="42.0" hidden="1" customHeight="1">
      <c r="A54" s="10" t="s">
        <v>387</v>
      </c>
      <c r="B54" s="12" t="s">
        <v>48</v>
      </c>
      <c r="C54" s="10" t="s">
        <v>88</v>
      </c>
      <c r="D54" s="10" t="s">
        <v>388</v>
      </c>
      <c r="E54" s="10" t="s">
        <v>389</v>
      </c>
      <c r="F54" s="10" t="s">
        <v>390</v>
      </c>
      <c r="G54" s="13" t="s">
        <v>358</v>
      </c>
      <c r="H54" s="13" t="s">
        <v>65</v>
      </c>
      <c r="I54" s="38" t="s">
        <v>139</v>
      </c>
      <c r="J54" s="39">
        <v>46233.0</v>
      </c>
      <c r="K54" s="16" t="s">
        <v>91</v>
      </c>
      <c r="L54" s="16" t="s">
        <v>391</v>
      </c>
      <c r="M54" s="10"/>
      <c r="N54" s="10"/>
    </row>
    <row r="55" ht="42.0" hidden="1" customHeight="1">
      <c r="A55" s="17" t="s">
        <v>392</v>
      </c>
      <c r="B55" s="18" t="s">
        <v>48</v>
      </c>
      <c r="C55" s="17" t="s">
        <v>88</v>
      </c>
      <c r="D55" s="17" t="s">
        <v>393</v>
      </c>
      <c r="E55" s="17" t="s">
        <v>394</v>
      </c>
      <c r="F55" s="17" t="s">
        <v>395</v>
      </c>
      <c r="G55" s="19" t="s">
        <v>358</v>
      </c>
      <c r="H55" s="19" t="s">
        <v>65</v>
      </c>
      <c r="I55" s="40" t="s">
        <v>75</v>
      </c>
      <c r="J55" s="41">
        <v>46233.0</v>
      </c>
      <c r="K55" s="22" t="s">
        <v>91</v>
      </c>
      <c r="L55" s="22" t="s">
        <v>396</v>
      </c>
      <c r="M55" s="17"/>
      <c r="N55" s="17"/>
    </row>
    <row r="56" ht="42.0" hidden="1" customHeight="1">
      <c r="A56" s="10" t="s">
        <v>397</v>
      </c>
      <c r="B56" s="12" t="s">
        <v>48</v>
      </c>
      <c r="C56" s="10" t="s">
        <v>88</v>
      </c>
      <c r="D56" s="10" t="s">
        <v>398</v>
      </c>
      <c r="E56" s="10" t="s">
        <v>399</v>
      </c>
      <c r="F56" s="10" t="s">
        <v>400</v>
      </c>
      <c r="G56" s="13" t="s">
        <v>358</v>
      </c>
      <c r="H56" s="13" t="s">
        <v>65</v>
      </c>
      <c r="I56" s="38" t="s">
        <v>139</v>
      </c>
      <c r="J56" s="39">
        <v>46233.0</v>
      </c>
      <c r="K56" s="16" t="s">
        <v>91</v>
      </c>
      <c r="L56" s="16" t="s">
        <v>401</v>
      </c>
      <c r="M56" s="10"/>
      <c r="N56" s="10"/>
    </row>
    <row r="57" ht="42.0" hidden="1" customHeight="1">
      <c r="A57" s="17" t="s">
        <v>402</v>
      </c>
      <c r="B57" s="18" t="s">
        <v>48</v>
      </c>
      <c r="C57" s="17" t="s">
        <v>88</v>
      </c>
      <c r="D57" s="17" t="s">
        <v>403</v>
      </c>
      <c r="E57" s="17" t="s">
        <v>404</v>
      </c>
      <c r="F57" s="17" t="s">
        <v>405</v>
      </c>
      <c r="G57" s="19" t="s">
        <v>358</v>
      </c>
      <c r="H57" s="19" t="s">
        <v>65</v>
      </c>
      <c r="I57" s="40" t="s">
        <v>139</v>
      </c>
      <c r="J57" s="41">
        <v>46233.0</v>
      </c>
      <c r="K57" s="22" t="s">
        <v>91</v>
      </c>
      <c r="L57" s="22" t="s">
        <v>406</v>
      </c>
      <c r="M57" s="17"/>
      <c r="N57" s="17"/>
    </row>
    <row r="58" ht="42.0" hidden="1" customHeight="1">
      <c r="A58" s="10" t="s">
        <v>407</v>
      </c>
      <c r="B58" s="12" t="s">
        <v>48</v>
      </c>
      <c r="C58" s="10" t="s">
        <v>88</v>
      </c>
      <c r="D58" s="10" t="s">
        <v>408</v>
      </c>
      <c r="E58" s="10" t="s">
        <v>409</v>
      </c>
      <c r="F58" s="10" t="s">
        <v>410</v>
      </c>
      <c r="G58" s="13" t="s">
        <v>358</v>
      </c>
      <c r="H58" s="13" t="s">
        <v>65</v>
      </c>
      <c r="I58" s="38" t="s">
        <v>75</v>
      </c>
      <c r="J58" s="39">
        <v>46233.0</v>
      </c>
      <c r="K58" s="16" t="s">
        <v>91</v>
      </c>
      <c r="L58" s="16" t="s">
        <v>411</v>
      </c>
      <c r="M58" s="10"/>
      <c r="N58" s="10"/>
    </row>
    <row r="59" ht="42.0" hidden="1" customHeight="1">
      <c r="A59" s="17" t="s">
        <v>412</v>
      </c>
      <c r="B59" s="18" t="s">
        <v>48</v>
      </c>
      <c r="C59" s="17" t="s">
        <v>88</v>
      </c>
      <c r="D59" s="17" t="s">
        <v>413</v>
      </c>
      <c r="E59" s="17" t="s">
        <v>414</v>
      </c>
      <c r="F59" s="17" t="s">
        <v>415</v>
      </c>
      <c r="G59" s="19" t="s">
        <v>358</v>
      </c>
      <c r="H59" s="19" t="s">
        <v>65</v>
      </c>
      <c r="I59" s="40" t="s">
        <v>139</v>
      </c>
      <c r="J59" s="41">
        <v>46233.0</v>
      </c>
      <c r="K59" s="22" t="s">
        <v>91</v>
      </c>
      <c r="L59" s="22" t="s">
        <v>416</v>
      </c>
      <c r="M59" s="17"/>
      <c r="N59" s="17"/>
    </row>
    <row r="60" ht="42.0" hidden="1" customHeight="1">
      <c r="A60" s="10" t="s">
        <v>417</v>
      </c>
      <c r="B60" s="12" t="s">
        <v>48</v>
      </c>
      <c r="C60" s="10" t="s">
        <v>88</v>
      </c>
      <c r="D60" s="10" t="s">
        <v>418</v>
      </c>
      <c r="E60" s="10" t="s">
        <v>419</v>
      </c>
      <c r="F60" s="10" t="s">
        <v>420</v>
      </c>
      <c r="G60" s="13" t="s">
        <v>358</v>
      </c>
      <c r="H60" s="13" t="s">
        <v>65</v>
      </c>
      <c r="I60" s="38" t="s">
        <v>75</v>
      </c>
      <c r="J60" s="39">
        <v>46233.0</v>
      </c>
      <c r="K60" s="16" t="s">
        <v>91</v>
      </c>
      <c r="L60" s="16" t="s">
        <v>421</v>
      </c>
      <c r="M60" s="10"/>
      <c r="N60" s="10"/>
    </row>
    <row r="61" ht="42.0" hidden="1" customHeight="1">
      <c r="A61" s="17" t="s">
        <v>422</v>
      </c>
      <c r="B61" s="18" t="s">
        <v>48</v>
      </c>
      <c r="C61" s="17" t="s">
        <v>88</v>
      </c>
      <c r="D61" s="17" t="s">
        <v>423</v>
      </c>
      <c r="E61" s="17" t="s">
        <v>424</v>
      </c>
      <c r="F61" s="17" t="s">
        <v>425</v>
      </c>
      <c r="G61" s="19" t="s">
        <v>358</v>
      </c>
      <c r="H61" s="19" t="s">
        <v>65</v>
      </c>
      <c r="I61" s="40" t="s">
        <v>426</v>
      </c>
      <c r="J61" s="41">
        <v>46233.0</v>
      </c>
      <c r="K61" s="22" t="s">
        <v>91</v>
      </c>
      <c r="L61" s="22" t="s">
        <v>427</v>
      </c>
      <c r="M61" s="17"/>
      <c r="N61" s="17"/>
    </row>
    <row r="62" ht="42.0" hidden="1" customHeight="1">
      <c r="A62" s="10" t="s">
        <v>428</v>
      </c>
      <c r="B62" s="12" t="s">
        <v>48</v>
      </c>
      <c r="C62" s="10" t="s">
        <v>79</v>
      </c>
      <c r="D62" s="10" t="s">
        <v>429</v>
      </c>
      <c r="E62" s="10"/>
      <c r="F62" s="10" t="s">
        <v>430</v>
      </c>
      <c r="G62" s="13" t="s">
        <v>358</v>
      </c>
      <c r="H62" s="13" t="s">
        <v>46</v>
      </c>
      <c r="I62" s="38" t="s">
        <v>139</v>
      </c>
      <c r="J62" s="39">
        <v>46246.0</v>
      </c>
      <c r="K62" s="16" t="s">
        <v>218</v>
      </c>
      <c r="L62" s="16" t="s">
        <v>310</v>
      </c>
      <c r="M62" s="10"/>
      <c r="N62" s="10"/>
    </row>
    <row r="63" ht="42.0" hidden="1" customHeight="1">
      <c r="A63" s="17" t="s">
        <v>431</v>
      </c>
      <c r="B63" s="18" t="s">
        <v>48</v>
      </c>
      <c r="C63" s="17" t="s">
        <v>79</v>
      </c>
      <c r="D63" s="17" t="s">
        <v>432</v>
      </c>
      <c r="E63" s="17"/>
      <c r="F63" s="17" t="s">
        <v>433</v>
      </c>
      <c r="G63" s="19" t="s">
        <v>358</v>
      </c>
      <c r="H63" s="19" t="s">
        <v>46</v>
      </c>
      <c r="I63" s="40" t="s">
        <v>75</v>
      </c>
      <c r="J63" s="41">
        <v>46246.0</v>
      </c>
      <c r="K63" s="22" t="s">
        <v>218</v>
      </c>
      <c r="L63" s="22" t="s">
        <v>434</v>
      </c>
      <c r="M63" s="17"/>
      <c r="N63" s="17"/>
    </row>
    <row r="64" ht="42.0" hidden="1" customHeight="1">
      <c r="A64" s="10" t="s">
        <v>435</v>
      </c>
      <c r="B64" s="12" t="s">
        <v>48</v>
      </c>
      <c r="C64" s="10" t="s">
        <v>79</v>
      </c>
      <c r="D64" s="10" t="s">
        <v>436</v>
      </c>
      <c r="E64" s="10" t="s">
        <v>437</v>
      </c>
      <c r="F64" s="10" t="s">
        <v>438</v>
      </c>
      <c r="G64" s="13" t="s">
        <v>358</v>
      </c>
      <c r="H64" s="13" t="s">
        <v>46</v>
      </c>
      <c r="I64" s="38" t="s">
        <v>75</v>
      </c>
      <c r="J64" s="39">
        <v>46246.0</v>
      </c>
      <c r="K64" s="16" t="s">
        <v>218</v>
      </c>
      <c r="L64" s="16" t="s">
        <v>439</v>
      </c>
      <c r="M64" s="10"/>
      <c r="N64" s="10"/>
    </row>
    <row r="65" ht="42.0" hidden="1" customHeight="1">
      <c r="A65" s="17" t="s">
        <v>81</v>
      </c>
      <c r="B65" s="18" t="s">
        <v>48</v>
      </c>
      <c r="C65" s="17" t="s">
        <v>79</v>
      </c>
      <c r="D65" s="17" t="s">
        <v>440</v>
      </c>
      <c r="E65" s="17" t="s">
        <v>441</v>
      </c>
      <c r="F65" s="17" t="s">
        <v>442</v>
      </c>
      <c r="G65" s="19" t="s">
        <v>358</v>
      </c>
      <c r="H65" s="19" t="s">
        <v>46</v>
      </c>
      <c r="I65" s="40" t="s">
        <v>75</v>
      </c>
      <c r="J65" s="41">
        <v>46246.0</v>
      </c>
      <c r="K65" s="22" t="s">
        <v>218</v>
      </c>
      <c r="L65" s="22" t="s">
        <v>443</v>
      </c>
      <c r="M65" s="17"/>
      <c r="N65" s="17"/>
    </row>
    <row r="66" ht="42.0" hidden="1" customHeight="1">
      <c r="A66" s="10" t="s">
        <v>444</v>
      </c>
      <c r="B66" s="12" t="s">
        <v>48</v>
      </c>
      <c r="C66" s="10" t="s">
        <v>79</v>
      </c>
      <c r="D66" s="10" t="s">
        <v>445</v>
      </c>
      <c r="E66" s="10" t="s">
        <v>446</v>
      </c>
      <c r="F66" s="10" t="s">
        <v>447</v>
      </c>
      <c r="G66" s="13" t="s">
        <v>358</v>
      </c>
      <c r="H66" s="13" t="s">
        <v>46</v>
      </c>
      <c r="I66" s="38" t="s">
        <v>75</v>
      </c>
      <c r="J66" s="39">
        <v>46246.0</v>
      </c>
      <c r="K66" s="16" t="s">
        <v>218</v>
      </c>
      <c r="L66" s="16" t="s">
        <v>448</v>
      </c>
      <c r="M66" s="10"/>
      <c r="N66" s="10"/>
    </row>
    <row r="67" ht="42.0" hidden="1" customHeight="1">
      <c r="A67" s="17" t="s">
        <v>449</v>
      </c>
      <c r="B67" s="18" t="s">
        <v>48</v>
      </c>
      <c r="C67" s="17" t="s">
        <v>79</v>
      </c>
      <c r="D67" s="17" t="s">
        <v>450</v>
      </c>
      <c r="E67" s="17" t="s">
        <v>451</v>
      </c>
      <c r="F67" s="17" t="s">
        <v>452</v>
      </c>
      <c r="G67" s="19" t="s">
        <v>358</v>
      </c>
      <c r="H67" s="19" t="s">
        <v>46</v>
      </c>
      <c r="I67" s="40" t="s">
        <v>75</v>
      </c>
      <c r="J67" s="41">
        <v>46246.0</v>
      </c>
      <c r="K67" s="22" t="s">
        <v>218</v>
      </c>
      <c r="L67" s="22" t="s">
        <v>453</v>
      </c>
      <c r="M67" s="17"/>
      <c r="N67" s="17"/>
    </row>
    <row r="68" ht="42.0" hidden="1" customHeight="1">
      <c r="A68" s="10" t="s">
        <v>454</v>
      </c>
      <c r="B68" s="12" t="s">
        <v>48</v>
      </c>
      <c r="C68" s="10" t="s">
        <v>79</v>
      </c>
      <c r="D68" s="10" t="s">
        <v>455</v>
      </c>
      <c r="E68" s="10" t="s">
        <v>456</v>
      </c>
      <c r="F68" s="10" t="s">
        <v>457</v>
      </c>
      <c r="G68" s="13" t="s">
        <v>358</v>
      </c>
      <c r="H68" s="13" t="s">
        <v>46</v>
      </c>
      <c r="I68" s="38" t="s">
        <v>139</v>
      </c>
      <c r="J68" s="39">
        <v>46246.0</v>
      </c>
      <c r="K68" s="16" t="s">
        <v>218</v>
      </c>
      <c r="L68" s="16" t="s">
        <v>310</v>
      </c>
      <c r="M68" s="10"/>
      <c r="N68" s="10"/>
    </row>
    <row r="69" ht="42.0" hidden="1" customHeight="1">
      <c r="A69" s="17" t="s">
        <v>458</v>
      </c>
      <c r="B69" s="18" t="s">
        <v>48</v>
      </c>
      <c r="C69" s="17" t="s">
        <v>79</v>
      </c>
      <c r="D69" s="17" t="s">
        <v>459</v>
      </c>
      <c r="E69" s="17" t="s">
        <v>460</v>
      </c>
      <c r="F69" s="17" t="s">
        <v>461</v>
      </c>
      <c r="G69" s="19" t="s">
        <v>358</v>
      </c>
      <c r="H69" s="19" t="s">
        <v>46</v>
      </c>
      <c r="I69" s="40" t="s">
        <v>139</v>
      </c>
      <c r="J69" s="41">
        <v>46246.0</v>
      </c>
      <c r="K69" s="22" t="s">
        <v>218</v>
      </c>
      <c r="L69" s="22" t="s">
        <v>462</v>
      </c>
      <c r="M69" s="17"/>
      <c r="N69" s="17"/>
    </row>
    <row r="70" ht="42.0" customHeight="1">
      <c r="A70" s="10" t="s">
        <v>463</v>
      </c>
      <c r="B70" s="12" t="s">
        <v>48</v>
      </c>
      <c r="C70" s="10" t="s">
        <v>103</v>
      </c>
      <c r="D70" s="10" t="s">
        <v>355</v>
      </c>
      <c r="E70" s="10" t="s">
        <v>464</v>
      </c>
      <c r="F70" s="10" t="s">
        <v>465</v>
      </c>
      <c r="G70" s="13" t="s">
        <v>45</v>
      </c>
      <c r="H70" s="13" t="s">
        <v>26</v>
      </c>
      <c r="I70" s="42" t="s">
        <v>466</v>
      </c>
      <c r="J70" s="15"/>
      <c r="K70" s="10"/>
      <c r="L70" s="10"/>
      <c r="M70" s="10"/>
      <c r="N70" s="10"/>
    </row>
    <row r="71" ht="42.0" customHeight="1">
      <c r="A71" s="17" t="s">
        <v>467</v>
      </c>
      <c r="B71" s="18" t="s">
        <v>48</v>
      </c>
      <c r="C71" s="17" t="s">
        <v>103</v>
      </c>
      <c r="D71" s="17" t="s">
        <v>468</v>
      </c>
      <c r="E71" s="17" t="s">
        <v>469</v>
      </c>
      <c r="F71" s="17" t="s">
        <v>470</v>
      </c>
      <c r="G71" s="19" t="s">
        <v>45</v>
      </c>
      <c r="H71" s="19" t="s">
        <v>26</v>
      </c>
      <c r="I71" s="43" t="s">
        <v>466</v>
      </c>
      <c r="J71" s="21"/>
      <c r="K71" s="17"/>
      <c r="L71" s="17"/>
      <c r="M71" s="17"/>
      <c r="N71" s="17"/>
    </row>
    <row r="72" ht="42.0" customHeight="1">
      <c r="A72" s="10" t="s">
        <v>471</v>
      </c>
      <c r="B72" s="12" t="s">
        <v>48</v>
      </c>
      <c r="C72" s="10" t="s">
        <v>103</v>
      </c>
      <c r="D72" s="10" t="s">
        <v>472</v>
      </c>
      <c r="E72" s="10" t="s">
        <v>473</v>
      </c>
      <c r="F72" s="10" t="s">
        <v>474</v>
      </c>
      <c r="G72" s="13" t="s">
        <v>45</v>
      </c>
      <c r="H72" s="13" t="s">
        <v>26</v>
      </c>
      <c r="I72" s="42" t="s">
        <v>466</v>
      </c>
      <c r="J72" s="15"/>
      <c r="K72" s="10"/>
      <c r="L72" s="10"/>
      <c r="M72" s="10"/>
      <c r="N72" s="10"/>
    </row>
    <row r="73" ht="42.0" customHeight="1">
      <c r="A73" s="17" t="s">
        <v>475</v>
      </c>
      <c r="B73" s="18" t="s">
        <v>48</v>
      </c>
      <c r="C73" s="17" t="s">
        <v>103</v>
      </c>
      <c r="D73" s="17" t="s">
        <v>476</v>
      </c>
      <c r="E73" s="17" t="s">
        <v>477</v>
      </c>
      <c r="F73" s="17" t="s">
        <v>478</v>
      </c>
      <c r="G73" s="19" t="s">
        <v>45</v>
      </c>
      <c r="H73" s="19" t="s">
        <v>26</v>
      </c>
      <c r="I73" s="43" t="s">
        <v>466</v>
      </c>
      <c r="J73" s="21"/>
      <c r="K73" s="17"/>
      <c r="L73" s="17"/>
      <c r="M73" s="17"/>
      <c r="N73" s="17"/>
    </row>
    <row r="74" ht="42.0" customHeight="1">
      <c r="A74" s="10" t="s">
        <v>479</v>
      </c>
      <c r="B74" s="12" t="s">
        <v>48</v>
      </c>
      <c r="C74" s="10" t="s">
        <v>103</v>
      </c>
      <c r="D74" s="10" t="s">
        <v>246</v>
      </c>
      <c r="E74" s="10" t="s">
        <v>480</v>
      </c>
      <c r="F74" s="10" t="s">
        <v>481</v>
      </c>
      <c r="G74" s="13" t="s">
        <v>45</v>
      </c>
      <c r="H74" s="13" t="s">
        <v>26</v>
      </c>
      <c r="I74" s="42" t="s">
        <v>466</v>
      </c>
      <c r="J74" s="15"/>
      <c r="K74" s="10"/>
      <c r="L74" s="10"/>
      <c r="M74" s="10"/>
      <c r="N74" s="10"/>
    </row>
    <row r="75" ht="42.0" customHeight="1">
      <c r="A75" s="17" t="s">
        <v>482</v>
      </c>
      <c r="B75" s="18" t="s">
        <v>48</v>
      </c>
      <c r="C75" s="17" t="s">
        <v>103</v>
      </c>
      <c r="D75" s="17" t="s">
        <v>143</v>
      </c>
      <c r="E75" s="17" t="s">
        <v>483</v>
      </c>
      <c r="F75" s="17" t="s">
        <v>484</v>
      </c>
      <c r="G75" s="19" t="s">
        <v>45</v>
      </c>
      <c r="H75" s="19" t="s">
        <v>26</v>
      </c>
      <c r="I75" s="43" t="s">
        <v>466</v>
      </c>
      <c r="J75" s="21"/>
      <c r="K75" s="17"/>
      <c r="L75" s="17"/>
      <c r="M75" s="17"/>
      <c r="N75" s="17"/>
    </row>
    <row r="76" ht="42.0" customHeight="1">
      <c r="A76" s="10" t="s">
        <v>485</v>
      </c>
      <c r="B76" s="12" t="s">
        <v>48</v>
      </c>
      <c r="C76" s="10" t="s">
        <v>103</v>
      </c>
      <c r="D76" s="10" t="s">
        <v>270</v>
      </c>
      <c r="E76" s="10" t="s">
        <v>486</v>
      </c>
      <c r="F76" s="10" t="s">
        <v>487</v>
      </c>
      <c r="G76" s="13" t="s">
        <v>45</v>
      </c>
      <c r="H76" s="13" t="s">
        <v>26</v>
      </c>
      <c r="I76" s="42" t="s">
        <v>466</v>
      </c>
      <c r="J76" s="15"/>
      <c r="K76" s="10"/>
      <c r="L76" s="10"/>
      <c r="M76" s="10"/>
      <c r="N76" s="10"/>
    </row>
    <row r="77" ht="42.0" customHeight="1">
      <c r="A77" s="17" t="s">
        <v>488</v>
      </c>
      <c r="B77" s="18" t="s">
        <v>48</v>
      </c>
      <c r="C77" s="17" t="s">
        <v>103</v>
      </c>
      <c r="D77" s="17" t="s">
        <v>367</v>
      </c>
      <c r="E77" s="17" t="s">
        <v>489</v>
      </c>
      <c r="F77" s="17" t="s">
        <v>490</v>
      </c>
      <c r="G77" s="19" t="s">
        <v>45</v>
      </c>
      <c r="H77" s="19" t="s">
        <v>26</v>
      </c>
      <c r="I77" s="43" t="s">
        <v>466</v>
      </c>
      <c r="J77" s="21"/>
      <c r="K77" s="17"/>
      <c r="L77" s="17"/>
      <c r="M77" s="17"/>
      <c r="N77" s="17"/>
    </row>
    <row r="78" ht="42.0" customHeight="1">
      <c r="A78" s="10" t="s">
        <v>491</v>
      </c>
      <c r="B78" s="12" t="s">
        <v>48</v>
      </c>
      <c r="C78" s="10" t="s">
        <v>103</v>
      </c>
      <c r="D78" s="10" t="s">
        <v>492</v>
      </c>
      <c r="E78" s="10" t="s">
        <v>493</v>
      </c>
      <c r="F78" s="10" t="s">
        <v>494</v>
      </c>
      <c r="G78" s="13" t="s">
        <v>45</v>
      </c>
      <c r="H78" s="13" t="s">
        <v>26</v>
      </c>
      <c r="I78" s="42" t="s">
        <v>466</v>
      </c>
      <c r="J78" s="15"/>
      <c r="K78" s="10"/>
      <c r="L78" s="10"/>
      <c r="M78" s="10"/>
      <c r="N78" s="10"/>
    </row>
    <row r="79" ht="42.0" customHeight="1">
      <c r="A79" s="17" t="s">
        <v>495</v>
      </c>
      <c r="B79" s="18" t="s">
        <v>48</v>
      </c>
      <c r="C79" s="17" t="s">
        <v>103</v>
      </c>
      <c r="D79" s="17" t="s">
        <v>496</v>
      </c>
      <c r="E79" s="17" t="s">
        <v>497</v>
      </c>
      <c r="F79" s="17" t="s">
        <v>498</v>
      </c>
      <c r="G79" s="19" t="s">
        <v>45</v>
      </c>
      <c r="H79" s="19" t="s">
        <v>26</v>
      </c>
      <c r="I79" s="43" t="s">
        <v>466</v>
      </c>
      <c r="J79" s="21"/>
      <c r="K79" s="17"/>
      <c r="L79" s="17"/>
      <c r="M79" s="17"/>
      <c r="N79" s="17"/>
    </row>
    <row r="80" ht="42.0" customHeight="1">
      <c r="A80" s="10" t="s">
        <v>499</v>
      </c>
      <c r="B80" s="12" t="s">
        <v>48</v>
      </c>
      <c r="C80" s="10" t="s">
        <v>103</v>
      </c>
      <c r="D80" s="10" t="s">
        <v>500</v>
      </c>
      <c r="E80" s="10" t="s">
        <v>501</v>
      </c>
      <c r="F80" s="10" t="s">
        <v>502</v>
      </c>
      <c r="G80" s="13" t="s">
        <v>45</v>
      </c>
      <c r="H80" s="13" t="s">
        <v>26</v>
      </c>
      <c r="I80" s="42" t="s">
        <v>466</v>
      </c>
      <c r="J80" s="15"/>
      <c r="K80" s="10"/>
      <c r="L80" s="10"/>
      <c r="M80" s="10"/>
      <c r="N80" s="10"/>
    </row>
    <row r="81" ht="42.0" customHeight="1">
      <c r="A81" s="17" t="s">
        <v>503</v>
      </c>
      <c r="B81" s="18" t="s">
        <v>48</v>
      </c>
      <c r="C81" s="17" t="s">
        <v>103</v>
      </c>
      <c r="D81" s="17" t="s">
        <v>504</v>
      </c>
      <c r="E81" s="17" t="s">
        <v>505</v>
      </c>
      <c r="F81" s="17" t="s">
        <v>506</v>
      </c>
      <c r="G81" s="19" t="s">
        <v>45</v>
      </c>
      <c r="H81" s="19" t="s">
        <v>26</v>
      </c>
      <c r="I81" s="43" t="s">
        <v>466</v>
      </c>
      <c r="J81" s="21"/>
      <c r="K81" s="17"/>
      <c r="L81" s="17"/>
      <c r="M81" s="17"/>
      <c r="N81" s="17"/>
    </row>
    <row r="82" ht="42.0" customHeight="1">
      <c r="A82" s="10" t="s">
        <v>507</v>
      </c>
      <c r="B82" s="12" t="s">
        <v>48</v>
      </c>
      <c r="C82" s="10" t="s">
        <v>103</v>
      </c>
      <c r="D82" s="10" t="s">
        <v>508</v>
      </c>
      <c r="E82" s="10" t="s">
        <v>509</v>
      </c>
      <c r="F82" s="10" t="s">
        <v>510</v>
      </c>
      <c r="G82" s="13" t="s">
        <v>45</v>
      </c>
      <c r="H82" s="13" t="s">
        <v>26</v>
      </c>
      <c r="I82" s="42" t="s">
        <v>466</v>
      </c>
      <c r="J82" s="15"/>
      <c r="K82" s="10"/>
      <c r="L82" s="10"/>
      <c r="M82" s="10"/>
      <c r="N82" s="10"/>
    </row>
    <row r="83" ht="42.0" hidden="1" customHeight="1">
      <c r="A83" s="17" t="s">
        <v>511</v>
      </c>
      <c r="B83" s="18" t="s">
        <v>48</v>
      </c>
      <c r="C83" s="17" t="s">
        <v>512</v>
      </c>
      <c r="D83" s="17" t="s">
        <v>513</v>
      </c>
      <c r="E83" s="17" t="s">
        <v>514</v>
      </c>
      <c r="F83" s="17" t="s">
        <v>515</v>
      </c>
      <c r="G83" s="19" t="s">
        <v>358</v>
      </c>
      <c r="H83" s="19" t="s">
        <v>46</v>
      </c>
      <c r="I83" s="43" t="s">
        <v>466</v>
      </c>
      <c r="J83" s="19"/>
      <c r="K83" s="17"/>
      <c r="L83" s="17"/>
      <c r="M83" s="17"/>
      <c r="N83" s="17"/>
    </row>
    <row r="84" ht="42.0" hidden="1" customHeight="1">
      <c r="A84" s="10" t="s">
        <v>516</v>
      </c>
      <c r="B84" s="12" t="s">
        <v>48</v>
      </c>
      <c r="C84" s="10" t="s">
        <v>512</v>
      </c>
      <c r="D84" s="10" t="s">
        <v>517</v>
      </c>
      <c r="E84" s="10" t="s">
        <v>518</v>
      </c>
      <c r="F84" s="10" t="s">
        <v>519</v>
      </c>
      <c r="G84" s="13" t="s">
        <v>358</v>
      </c>
      <c r="H84" s="13" t="s">
        <v>46</v>
      </c>
      <c r="I84" s="42" t="s">
        <v>466</v>
      </c>
      <c r="J84" s="13"/>
      <c r="K84" s="10"/>
      <c r="L84" s="10"/>
      <c r="M84" s="10"/>
      <c r="N84" s="10"/>
    </row>
    <row r="85" ht="42.0" hidden="1" customHeight="1">
      <c r="A85" s="17" t="s">
        <v>520</v>
      </c>
      <c r="B85" s="18" t="s">
        <v>48</v>
      </c>
      <c r="C85" s="17" t="s">
        <v>512</v>
      </c>
      <c r="D85" s="17" t="s">
        <v>521</v>
      </c>
      <c r="E85" s="17" t="s">
        <v>522</v>
      </c>
      <c r="F85" s="17" t="s">
        <v>523</v>
      </c>
      <c r="G85" s="19" t="s">
        <v>358</v>
      </c>
      <c r="H85" s="19" t="s">
        <v>46</v>
      </c>
      <c r="I85" s="43" t="s">
        <v>466</v>
      </c>
      <c r="J85" s="19"/>
      <c r="K85" s="17"/>
      <c r="L85" s="17"/>
      <c r="M85" s="17"/>
      <c r="N85" s="17"/>
    </row>
    <row r="86" ht="42.0" hidden="1" customHeight="1">
      <c r="A86" s="10" t="s">
        <v>524</v>
      </c>
      <c r="B86" s="12" t="s">
        <v>48</v>
      </c>
      <c r="C86" s="10" t="s">
        <v>512</v>
      </c>
      <c r="D86" s="10" t="s">
        <v>525</v>
      </c>
      <c r="E86" s="10" t="s">
        <v>526</v>
      </c>
      <c r="F86" s="10" t="s">
        <v>527</v>
      </c>
      <c r="G86" s="13" t="s">
        <v>358</v>
      </c>
      <c r="H86" s="13" t="s">
        <v>46</v>
      </c>
      <c r="I86" s="42" t="s">
        <v>466</v>
      </c>
      <c r="J86" s="13"/>
      <c r="K86" s="10"/>
      <c r="L86" s="10"/>
      <c r="M86" s="10"/>
      <c r="N86" s="10"/>
    </row>
    <row r="87" ht="42.0" hidden="1" customHeight="1">
      <c r="A87" s="17" t="s">
        <v>528</v>
      </c>
      <c r="B87" s="18" t="s">
        <v>48</v>
      </c>
      <c r="C87" s="17" t="s">
        <v>512</v>
      </c>
      <c r="D87" s="17" t="s">
        <v>529</v>
      </c>
      <c r="E87" s="17" t="s">
        <v>530</v>
      </c>
      <c r="F87" s="17" t="s">
        <v>531</v>
      </c>
      <c r="G87" s="19" t="s">
        <v>358</v>
      </c>
      <c r="H87" s="19" t="s">
        <v>46</v>
      </c>
      <c r="I87" s="43" t="s">
        <v>466</v>
      </c>
      <c r="J87" s="19"/>
      <c r="K87" s="17"/>
      <c r="L87" s="17"/>
      <c r="M87" s="17"/>
      <c r="N87" s="17"/>
    </row>
    <row r="88" ht="42.0" hidden="1" customHeight="1">
      <c r="A88" s="10" t="s">
        <v>532</v>
      </c>
      <c r="B88" s="12" t="s">
        <v>48</v>
      </c>
      <c r="C88" s="10" t="s">
        <v>512</v>
      </c>
      <c r="D88" s="10" t="s">
        <v>533</v>
      </c>
      <c r="E88" s="10" t="s">
        <v>534</v>
      </c>
      <c r="F88" s="10" t="s">
        <v>535</v>
      </c>
      <c r="G88" s="13" t="s">
        <v>358</v>
      </c>
      <c r="H88" s="13" t="s">
        <v>46</v>
      </c>
      <c r="I88" s="42" t="s">
        <v>466</v>
      </c>
      <c r="J88" s="13"/>
      <c r="K88" s="10"/>
      <c r="L88" s="10"/>
      <c r="M88" s="10"/>
      <c r="N88" s="10"/>
    </row>
    <row r="89" ht="42.0" hidden="1" customHeight="1">
      <c r="A89" s="17" t="s">
        <v>536</v>
      </c>
      <c r="B89" s="18" t="s">
        <v>48</v>
      </c>
      <c r="C89" s="17" t="s">
        <v>512</v>
      </c>
      <c r="D89" s="17" t="s">
        <v>537</v>
      </c>
      <c r="E89" s="17" t="s">
        <v>538</v>
      </c>
      <c r="F89" s="17" t="s">
        <v>539</v>
      </c>
      <c r="G89" s="19" t="s">
        <v>358</v>
      </c>
      <c r="H89" s="19" t="s">
        <v>46</v>
      </c>
      <c r="I89" s="43" t="s">
        <v>466</v>
      </c>
      <c r="J89" s="19"/>
      <c r="K89" s="17"/>
      <c r="L89" s="17"/>
      <c r="M89" s="17"/>
      <c r="N89" s="17"/>
    </row>
    <row r="90" ht="42.0" hidden="1" customHeight="1">
      <c r="A90" s="10" t="s">
        <v>540</v>
      </c>
      <c r="B90" s="12" t="s">
        <v>48</v>
      </c>
      <c r="C90" s="10" t="s">
        <v>512</v>
      </c>
      <c r="D90" s="10" t="s">
        <v>541</v>
      </c>
      <c r="E90" s="10" t="s">
        <v>542</v>
      </c>
      <c r="F90" s="10" t="s">
        <v>543</v>
      </c>
      <c r="G90" s="13" t="s">
        <v>358</v>
      </c>
      <c r="H90" s="13" t="s">
        <v>46</v>
      </c>
      <c r="I90" s="42" t="s">
        <v>466</v>
      </c>
      <c r="J90" s="13"/>
      <c r="K90" s="10"/>
      <c r="L90" s="10"/>
      <c r="M90" s="10"/>
      <c r="N90" s="10"/>
    </row>
    <row r="91" ht="42.0" hidden="1" customHeight="1">
      <c r="A91" s="17" t="s">
        <v>544</v>
      </c>
      <c r="B91" s="18" t="s">
        <v>48</v>
      </c>
      <c r="C91" s="17" t="s">
        <v>512</v>
      </c>
      <c r="D91" s="17" t="s">
        <v>545</v>
      </c>
      <c r="E91" s="17" t="s">
        <v>546</v>
      </c>
      <c r="F91" s="17" t="s">
        <v>547</v>
      </c>
      <c r="G91" s="19" t="s">
        <v>358</v>
      </c>
      <c r="H91" s="19" t="s">
        <v>46</v>
      </c>
      <c r="I91" s="43" t="s">
        <v>466</v>
      </c>
      <c r="J91" s="19"/>
      <c r="K91" s="17"/>
      <c r="L91" s="17"/>
      <c r="M91" s="17"/>
      <c r="N91" s="17"/>
    </row>
    <row r="92" ht="42.0" hidden="1" customHeight="1">
      <c r="A92" s="10" t="s">
        <v>548</v>
      </c>
      <c r="B92" s="12" t="s">
        <v>48</v>
      </c>
      <c r="C92" s="10" t="s">
        <v>512</v>
      </c>
      <c r="D92" s="10" t="s">
        <v>549</v>
      </c>
      <c r="E92" s="10" t="s">
        <v>550</v>
      </c>
      <c r="F92" s="10" t="s">
        <v>551</v>
      </c>
      <c r="G92" s="13" t="s">
        <v>358</v>
      </c>
      <c r="H92" s="13" t="s">
        <v>46</v>
      </c>
      <c r="I92" s="42" t="s">
        <v>466</v>
      </c>
      <c r="J92" s="13"/>
      <c r="K92" s="10"/>
      <c r="L92" s="10"/>
      <c r="M92" s="10"/>
      <c r="N92" s="10"/>
    </row>
    <row r="93" ht="42.0" hidden="1" customHeight="1">
      <c r="A93" s="17" t="s">
        <v>552</v>
      </c>
      <c r="B93" s="18" t="s">
        <v>48</v>
      </c>
      <c r="C93" s="17" t="s">
        <v>512</v>
      </c>
      <c r="D93" s="17" t="s">
        <v>553</v>
      </c>
      <c r="E93" s="17" t="s">
        <v>554</v>
      </c>
      <c r="F93" s="17" t="s">
        <v>555</v>
      </c>
      <c r="G93" s="19" t="s">
        <v>358</v>
      </c>
      <c r="H93" s="19" t="s">
        <v>46</v>
      </c>
      <c r="I93" s="43" t="s">
        <v>466</v>
      </c>
      <c r="J93" s="19"/>
      <c r="K93" s="17"/>
      <c r="L93" s="17"/>
      <c r="M93" s="17"/>
      <c r="N93" s="17"/>
    </row>
    <row r="94" ht="42.0" hidden="1" customHeight="1">
      <c r="A94" s="10" t="s">
        <v>556</v>
      </c>
      <c r="B94" s="12" t="s">
        <v>48</v>
      </c>
      <c r="C94" s="10" t="s">
        <v>512</v>
      </c>
      <c r="D94" s="10" t="s">
        <v>557</v>
      </c>
      <c r="E94" s="10" t="s">
        <v>558</v>
      </c>
      <c r="F94" s="10" t="s">
        <v>559</v>
      </c>
      <c r="G94" s="13" t="s">
        <v>358</v>
      </c>
      <c r="H94" s="13" t="s">
        <v>46</v>
      </c>
      <c r="I94" s="42" t="s">
        <v>466</v>
      </c>
      <c r="J94" s="13"/>
      <c r="K94" s="10"/>
      <c r="L94" s="10"/>
      <c r="M94" s="10"/>
      <c r="N94" s="10"/>
    </row>
    <row r="95" ht="42.0" hidden="1" customHeight="1">
      <c r="A95" s="17" t="s">
        <v>560</v>
      </c>
      <c r="B95" s="18" t="s">
        <v>48</v>
      </c>
      <c r="C95" s="17" t="s">
        <v>512</v>
      </c>
      <c r="D95" s="17" t="s">
        <v>561</v>
      </c>
      <c r="E95" s="17" t="s">
        <v>562</v>
      </c>
      <c r="F95" s="17" t="s">
        <v>563</v>
      </c>
      <c r="G95" s="19" t="s">
        <v>358</v>
      </c>
      <c r="H95" s="19" t="s">
        <v>46</v>
      </c>
      <c r="I95" s="43" t="s">
        <v>466</v>
      </c>
      <c r="J95" s="19"/>
      <c r="K95" s="17"/>
      <c r="L95" s="17"/>
      <c r="M95" s="17"/>
      <c r="N95" s="17"/>
    </row>
    <row r="96" ht="42.0" hidden="1" customHeight="1">
      <c r="A96" s="10" t="s">
        <v>564</v>
      </c>
      <c r="B96" s="12" t="s">
        <v>48</v>
      </c>
      <c r="C96" s="10" t="s">
        <v>512</v>
      </c>
      <c r="D96" s="10" t="s">
        <v>565</v>
      </c>
      <c r="E96" s="10" t="s">
        <v>566</v>
      </c>
      <c r="F96" s="10" t="s">
        <v>567</v>
      </c>
      <c r="G96" s="13" t="s">
        <v>358</v>
      </c>
      <c r="H96" s="13" t="s">
        <v>46</v>
      </c>
      <c r="I96" s="42" t="s">
        <v>466</v>
      </c>
      <c r="J96" s="13"/>
      <c r="K96" s="10"/>
      <c r="L96" s="10"/>
      <c r="M96" s="10"/>
      <c r="N96" s="10"/>
    </row>
    <row r="97" ht="42.0" hidden="1" customHeight="1">
      <c r="A97" s="17" t="s">
        <v>568</v>
      </c>
      <c r="B97" s="18" t="s">
        <v>48</v>
      </c>
      <c r="C97" s="17" t="s">
        <v>512</v>
      </c>
      <c r="D97" s="17" t="s">
        <v>569</v>
      </c>
      <c r="E97" s="17" t="s">
        <v>570</v>
      </c>
      <c r="F97" s="17" t="s">
        <v>571</v>
      </c>
      <c r="G97" s="19" t="s">
        <v>358</v>
      </c>
      <c r="H97" s="19" t="s">
        <v>46</v>
      </c>
      <c r="I97" s="43" t="s">
        <v>466</v>
      </c>
      <c r="J97" s="19"/>
      <c r="K97" s="17"/>
      <c r="L97" s="17"/>
      <c r="M97" s="17"/>
      <c r="N97" s="17"/>
    </row>
    <row r="98" hidden="1">
      <c r="A98" s="10" t="s">
        <v>572</v>
      </c>
      <c r="B98" s="12" t="s">
        <v>573</v>
      </c>
      <c r="C98" s="10" t="s">
        <v>97</v>
      </c>
      <c r="D98" s="10" t="s">
        <v>574</v>
      </c>
      <c r="E98" s="10" t="s">
        <v>575</v>
      </c>
      <c r="F98" s="10" t="s">
        <v>576</v>
      </c>
      <c r="G98" s="13" t="s">
        <v>45</v>
      </c>
      <c r="H98" s="13" t="s">
        <v>65</v>
      </c>
      <c r="I98" s="38" t="s">
        <v>426</v>
      </c>
      <c r="J98" s="15"/>
      <c r="K98" s="10" t="s">
        <v>577</v>
      </c>
      <c r="L98" s="10"/>
      <c r="M98" s="10"/>
      <c r="N98" s="10" t="s">
        <v>578</v>
      </c>
    </row>
    <row r="99" hidden="1">
      <c r="A99" s="17" t="s">
        <v>579</v>
      </c>
      <c r="B99" s="18" t="s">
        <v>573</v>
      </c>
      <c r="C99" s="17" t="s">
        <v>97</v>
      </c>
      <c r="D99" s="17" t="s">
        <v>574</v>
      </c>
      <c r="E99" s="17" t="s">
        <v>580</v>
      </c>
      <c r="F99" s="17" t="s">
        <v>576</v>
      </c>
      <c r="G99" s="19" t="s">
        <v>45</v>
      </c>
      <c r="H99" s="19" t="s">
        <v>65</v>
      </c>
      <c r="I99" s="40" t="s">
        <v>426</v>
      </c>
      <c r="J99" s="21"/>
      <c r="K99" s="17" t="s">
        <v>581</v>
      </c>
      <c r="L99" s="17"/>
      <c r="M99" s="17"/>
      <c r="N99" s="17" t="s">
        <v>578</v>
      </c>
    </row>
    <row r="100" hidden="1">
      <c r="A100" s="10" t="s">
        <v>582</v>
      </c>
      <c r="B100" s="12" t="s">
        <v>573</v>
      </c>
      <c r="C100" s="10" t="s">
        <v>97</v>
      </c>
      <c r="D100" s="10" t="s">
        <v>574</v>
      </c>
      <c r="E100" s="10" t="s">
        <v>583</v>
      </c>
      <c r="F100" s="10" t="s">
        <v>576</v>
      </c>
      <c r="G100" s="13" t="s">
        <v>45</v>
      </c>
      <c r="H100" s="13" t="s">
        <v>65</v>
      </c>
      <c r="I100" s="38" t="s">
        <v>426</v>
      </c>
      <c r="J100" s="15"/>
      <c r="K100" s="10" t="s">
        <v>584</v>
      </c>
      <c r="L100" s="10"/>
      <c r="M100" s="10"/>
      <c r="N100" s="10" t="s">
        <v>578</v>
      </c>
    </row>
    <row r="101" ht="42.0" customHeight="1">
      <c r="A101" s="17" t="s">
        <v>585</v>
      </c>
      <c r="B101" s="18" t="s">
        <v>573</v>
      </c>
      <c r="C101" s="17" t="s">
        <v>97</v>
      </c>
      <c r="D101" s="17" t="s">
        <v>586</v>
      </c>
      <c r="E101" s="17" t="s">
        <v>587</v>
      </c>
      <c r="F101" s="17" t="s">
        <v>576</v>
      </c>
      <c r="G101" s="19" t="s">
        <v>45</v>
      </c>
      <c r="H101" s="19" t="s">
        <v>26</v>
      </c>
      <c r="I101" s="43" t="s">
        <v>466</v>
      </c>
      <c r="J101" s="21"/>
      <c r="K101" s="17" t="s">
        <v>577</v>
      </c>
      <c r="L101" s="17"/>
      <c r="M101" s="17"/>
      <c r="N101" s="17" t="s">
        <v>588</v>
      </c>
    </row>
    <row r="102" ht="42.0" customHeight="1">
      <c r="A102" s="10" t="s">
        <v>589</v>
      </c>
      <c r="B102" s="12" t="s">
        <v>573</v>
      </c>
      <c r="C102" s="10" t="s">
        <v>97</v>
      </c>
      <c r="D102" s="10" t="s">
        <v>586</v>
      </c>
      <c r="E102" s="10" t="s">
        <v>590</v>
      </c>
      <c r="F102" s="10" t="s">
        <v>576</v>
      </c>
      <c r="G102" s="13" t="s">
        <v>45</v>
      </c>
      <c r="H102" s="13" t="s">
        <v>26</v>
      </c>
      <c r="I102" s="42" t="s">
        <v>466</v>
      </c>
      <c r="J102" s="15"/>
      <c r="K102" s="10" t="s">
        <v>581</v>
      </c>
      <c r="L102" s="10"/>
      <c r="M102" s="10"/>
      <c r="N102" s="10" t="s">
        <v>588</v>
      </c>
    </row>
    <row r="103" ht="42.0" customHeight="1">
      <c r="A103" s="17" t="s">
        <v>591</v>
      </c>
      <c r="B103" s="18" t="s">
        <v>573</v>
      </c>
      <c r="C103" s="17" t="s">
        <v>97</v>
      </c>
      <c r="D103" s="17" t="s">
        <v>586</v>
      </c>
      <c r="E103" s="17" t="s">
        <v>592</v>
      </c>
      <c r="F103" s="17" t="s">
        <v>576</v>
      </c>
      <c r="G103" s="19" t="s">
        <v>45</v>
      </c>
      <c r="H103" s="19" t="s">
        <v>26</v>
      </c>
      <c r="I103" s="43" t="s">
        <v>466</v>
      </c>
      <c r="J103" s="21"/>
      <c r="K103" s="17" t="s">
        <v>584</v>
      </c>
      <c r="L103" s="17"/>
      <c r="M103" s="17"/>
      <c r="N103" s="17" t="s">
        <v>588</v>
      </c>
    </row>
    <row r="104" ht="42.0" hidden="1" customHeight="1">
      <c r="A104" s="10" t="s">
        <v>593</v>
      </c>
      <c r="B104" s="12" t="s">
        <v>573</v>
      </c>
      <c r="C104" s="10" t="s">
        <v>97</v>
      </c>
      <c r="D104" s="10" t="s">
        <v>594</v>
      </c>
      <c r="E104" s="10" t="s">
        <v>595</v>
      </c>
      <c r="F104" s="10" t="s">
        <v>576</v>
      </c>
      <c r="G104" s="13" t="s">
        <v>45</v>
      </c>
      <c r="H104" s="13" t="s">
        <v>46</v>
      </c>
      <c r="I104" s="42" t="s">
        <v>466</v>
      </c>
      <c r="J104" s="13"/>
      <c r="K104" s="10" t="s">
        <v>577</v>
      </c>
      <c r="L104" s="10"/>
      <c r="M104" s="10"/>
      <c r="N104" s="10" t="s">
        <v>596</v>
      </c>
    </row>
    <row r="105" ht="42.0" hidden="1" customHeight="1">
      <c r="A105" s="17" t="s">
        <v>597</v>
      </c>
      <c r="B105" s="18" t="s">
        <v>573</v>
      </c>
      <c r="C105" s="17" t="s">
        <v>97</v>
      </c>
      <c r="D105" s="17" t="s">
        <v>594</v>
      </c>
      <c r="E105" s="17" t="s">
        <v>598</v>
      </c>
      <c r="F105" s="17" t="s">
        <v>576</v>
      </c>
      <c r="G105" s="19" t="s">
        <v>45</v>
      </c>
      <c r="H105" s="19" t="s">
        <v>46</v>
      </c>
      <c r="I105" s="43" t="s">
        <v>466</v>
      </c>
      <c r="J105" s="19"/>
      <c r="K105" s="17" t="s">
        <v>581</v>
      </c>
      <c r="L105" s="17"/>
      <c r="M105" s="17"/>
      <c r="N105" s="17" t="s">
        <v>596</v>
      </c>
    </row>
    <row r="106" ht="42.0" hidden="1" customHeight="1">
      <c r="A106" s="10" t="s">
        <v>599</v>
      </c>
      <c r="B106" s="12" t="s">
        <v>573</v>
      </c>
      <c r="C106" s="10" t="s">
        <v>97</v>
      </c>
      <c r="D106" s="10" t="s">
        <v>594</v>
      </c>
      <c r="E106" s="10" t="s">
        <v>600</v>
      </c>
      <c r="F106" s="10" t="s">
        <v>576</v>
      </c>
      <c r="G106" s="13" t="s">
        <v>45</v>
      </c>
      <c r="H106" s="13" t="s">
        <v>46</v>
      </c>
      <c r="I106" s="42" t="s">
        <v>466</v>
      </c>
      <c r="J106" s="13"/>
      <c r="K106" s="10" t="s">
        <v>584</v>
      </c>
      <c r="L106" s="10"/>
      <c r="M106" s="10"/>
      <c r="N106" s="10" t="s">
        <v>596</v>
      </c>
    </row>
    <row r="107" hidden="1">
      <c r="A107" s="17" t="s">
        <v>601</v>
      </c>
      <c r="B107" s="18" t="s">
        <v>573</v>
      </c>
      <c r="C107" s="17" t="s">
        <v>97</v>
      </c>
      <c r="D107" s="17" t="s">
        <v>602</v>
      </c>
      <c r="E107" s="17" t="s">
        <v>603</v>
      </c>
      <c r="F107" s="17" t="s">
        <v>576</v>
      </c>
      <c r="G107" s="19" t="s">
        <v>45</v>
      </c>
      <c r="H107" s="19" t="s">
        <v>65</v>
      </c>
      <c r="I107" s="40" t="s">
        <v>426</v>
      </c>
      <c r="J107" s="21"/>
      <c r="K107" s="17" t="s">
        <v>577</v>
      </c>
      <c r="L107" s="17"/>
      <c r="M107" s="17"/>
      <c r="N107" s="17" t="s">
        <v>604</v>
      </c>
    </row>
    <row r="108" hidden="1">
      <c r="A108" s="10" t="s">
        <v>605</v>
      </c>
      <c r="B108" s="12" t="s">
        <v>573</v>
      </c>
      <c r="C108" s="10" t="s">
        <v>97</v>
      </c>
      <c r="D108" s="10" t="s">
        <v>602</v>
      </c>
      <c r="E108" s="10" t="s">
        <v>606</v>
      </c>
      <c r="F108" s="10" t="s">
        <v>576</v>
      </c>
      <c r="G108" s="13" t="s">
        <v>45</v>
      </c>
      <c r="H108" s="13" t="s">
        <v>65</v>
      </c>
      <c r="I108" s="38" t="s">
        <v>426</v>
      </c>
      <c r="J108" s="15"/>
      <c r="K108" s="10" t="s">
        <v>581</v>
      </c>
      <c r="L108" s="10"/>
      <c r="M108" s="10"/>
      <c r="N108" s="10" t="s">
        <v>604</v>
      </c>
    </row>
    <row r="109" hidden="1">
      <c r="A109" s="17" t="s">
        <v>607</v>
      </c>
      <c r="B109" s="18" t="s">
        <v>573</v>
      </c>
      <c r="C109" s="17" t="s">
        <v>97</v>
      </c>
      <c r="D109" s="17" t="s">
        <v>602</v>
      </c>
      <c r="E109" s="17" t="s">
        <v>608</v>
      </c>
      <c r="F109" s="17" t="s">
        <v>576</v>
      </c>
      <c r="G109" s="19" t="s">
        <v>45</v>
      </c>
      <c r="H109" s="19" t="s">
        <v>65</v>
      </c>
      <c r="I109" s="40" t="s">
        <v>426</v>
      </c>
      <c r="J109" s="21"/>
      <c r="K109" s="17" t="s">
        <v>584</v>
      </c>
      <c r="L109" s="17"/>
      <c r="M109" s="17"/>
      <c r="N109" s="17" t="s">
        <v>604</v>
      </c>
    </row>
    <row r="110" ht="42.0" hidden="1" customHeight="1">
      <c r="A110" s="10" t="s">
        <v>609</v>
      </c>
      <c r="B110" s="12" t="s">
        <v>573</v>
      </c>
      <c r="C110" s="10" t="s">
        <v>97</v>
      </c>
      <c r="D110" s="10" t="s">
        <v>610</v>
      </c>
      <c r="E110" s="10" t="s">
        <v>611</v>
      </c>
      <c r="F110" s="10" t="s">
        <v>576</v>
      </c>
      <c r="G110" s="13" t="s">
        <v>45</v>
      </c>
      <c r="H110" s="13" t="s">
        <v>46</v>
      </c>
      <c r="I110" s="42" t="s">
        <v>466</v>
      </c>
      <c r="J110" s="13"/>
      <c r="K110" s="10" t="s">
        <v>577</v>
      </c>
      <c r="L110" s="10"/>
      <c r="M110" s="10"/>
      <c r="N110" s="10" t="s">
        <v>612</v>
      </c>
    </row>
    <row r="111" ht="42.0" hidden="1" customHeight="1">
      <c r="A111" s="17" t="s">
        <v>613</v>
      </c>
      <c r="B111" s="18" t="s">
        <v>573</v>
      </c>
      <c r="C111" s="17" t="s">
        <v>97</v>
      </c>
      <c r="D111" s="17" t="s">
        <v>610</v>
      </c>
      <c r="E111" s="17" t="s">
        <v>614</v>
      </c>
      <c r="F111" s="17" t="s">
        <v>576</v>
      </c>
      <c r="G111" s="19" t="s">
        <v>45</v>
      </c>
      <c r="H111" s="19" t="s">
        <v>46</v>
      </c>
      <c r="I111" s="43" t="s">
        <v>466</v>
      </c>
      <c r="J111" s="19"/>
      <c r="K111" s="17" t="s">
        <v>581</v>
      </c>
      <c r="L111" s="17"/>
      <c r="M111" s="17"/>
      <c r="N111" s="17" t="s">
        <v>612</v>
      </c>
    </row>
    <row r="112" ht="42.0" hidden="1" customHeight="1">
      <c r="A112" s="10" t="s">
        <v>615</v>
      </c>
      <c r="B112" s="12" t="s">
        <v>573</v>
      </c>
      <c r="C112" s="10" t="s">
        <v>97</v>
      </c>
      <c r="D112" s="10" t="s">
        <v>610</v>
      </c>
      <c r="E112" s="10" t="s">
        <v>616</v>
      </c>
      <c r="F112" s="10" t="s">
        <v>576</v>
      </c>
      <c r="G112" s="13" t="s">
        <v>45</v>
      </c>
      <c r="H112" s="13" t="s">
        <v>46</v>
      </c>
      <c r="I112" s="42" t="s">
        <v>466</v>
      </c>
      <c r="J112" s="13"/>
      <c r="K112" s="10" t="s">
        <v>584</v>
      </c>
      <c r="L112" s="10"/>
      <c r="M112" s="10"/>
      <c r="N112" s="10" t="s">
        <v>612</v>
      </c>
    </row>
    <row r="113" ht="42.0" customHeight="1">
      <c r="A113" s="17" t="s">
        <v>617</v>
      </c>
      <c r="B113" s="18" t="s">
        <v>573</v>
      </c>
      <c r="C113" s="17" t="s">
        <v>97</v>
      </c>
      <c r="D113" s="17" t="s">
        <v>618</v>
      </c>
      <c r="E113" s="17" t="s">
        <v>619</v>
      </c>
      <c r="F113" s="17" t="s">
        <v>576</v>
      </c>
      <c r="G113" s="19" t="s">
        <v>45</v>
      </c>
      <c r="H113" s="19" t="s">
        <v>26</v>
      </c>
      <c r="I113" s="43" t="s">
        <v>466</v>
      </c>
      <c r="J113" s="21"/>
      <c r="K113" s="17" t="s">
        <v>577</v>
      </c>
      <c r="L113" s="17"/>
      <c r="M113" s="17"/>
      <c r="N113" s="17" t="s">
        <v>620</v>
      </c>
    </row>
    <row r="114" ht="42.0" customHeight="1">
      <c r="A114" s="10" t="s">
        <v>621</v>
      </c>
      <c r="B114" s="12" t="s">
        <v>573</v>
      </c>
      <c r="C114" s="10" t="s">
        <v>97</v>
      </c>
      <c r="D114" s="10" t="s">
        <v>618</v>
      </c>
      <c r="E114" s="10" t="s">
        <v>622</v>
      </c>
      <c r="F114" s="10" t="s">
        <v>576</v>
      </c>
      <c r="G114" s="13" t="s">
        <v>45</v>
      </c>
      <c r="H114" s="13" t="s">
        <v>26</v>
      </c>
      <c r="I114" s="42" t="s">
        <v>466</v>
      </c>
      <c r="J114" s="15"/>
      <c r="K114" s="10" t="s">
        <v>581</v>
      </c>
      <c r="L114" s="10"/>
      <c r="M114" s="10"/>
      <c r="N114" s="10" t="s">
        <v>620</v>
      </c>
    </row>
    <row r="115" ht="42.0" customHeight="1">
      <c r="A115" s="17" t="s">
        <v>623</v>
      </c>
      <c r="B115" s="18" t="s">
        <v>573</v>
      </c>
      <c r="C115" s="17" t="s">
        <v>97</v>
      </c>
      <c r="D115" s="17" t="s">
        <v>618</v>
      </c>
      <c r="E115" s="17" t="s">
        <v>624</v>
      </c>
      <c r="F115" s="17" t="s">
        <v>576</v>
      </c>
      <c r="G115" s="19" t="s">
        <v>45</v>
      </c>
      <c r="H115" s="19" t="s">
        <v>26</v>
      </c>
      <c r="I115" s="43" t="s">
        <v>466</v>
      </c>
      <c r="J115" s="21"/>
      <c r="K115" s="17" t="s">
        <v>584</v>
      </c>
      <c r="L115" s="17"/>
      <c r="M115" s="17"/>
      <c r="N115" s="17" t="s">
        <v>620</v>
      </c>
    </row>
    <row r="116" hidden="1">
      <c r="A116" s="10" t="s">
        <v>625</v>
      </c>
      <c r="B116" s="12" t="s">
        <v>573</v>
      </c>
      <c r="C116" s="10" t="s">
        <v>97</v>
      </c>
      <c r="D116" s="10" t="s">
        <v>626</v>
      </c>
      <c r="E116" s="10" t="s">
        <v>627</v>
      </c>
      <c r="F116" s="10" t="s">
        <v>576</v>
      </c>
      <c r="G116" s="13" t="s">
        <v>45</v>
      </c>
      <c r="H116" s="13" t="s">
        <v>65</v>
      </c>
      <c r="I116" s="38" t="s">
        <v>426</v>
      </c>
      <c r="J116" s="15"/>
      <c r="K116" s="10" t="s">
        <v>577</v>
      </c>
      <c r="L116" s="10"/>
      <c r="M116" s="10"/>
      <c r="N116" s="10" t="s">
        <v>628</v>
      </c>
    </row>
    <row r="117" hidden="1">
      <c r="A117" s="17" t="s">
        <v>629</v>
      </c>
      <c r="B117" s="18" t="s">
        <v>573</v>
      </c>
      <c r="C117" s="17" t="s">
        <v>97</v>
      </c>
      <c r="D117" s="17" t="s">
        <v>626</v>
      </c>
      <c r="E117" s="17" t="s">
        <v>630</v>
      </c>
      <c r="F117" s="17" t="s">
        <v>576</v>
      </c>
      <c r="G117" s="19" t="s">
        <v>45</v>
      </c>
      <c r="H117" s="19" t="s">
        <v>65</v>
      </c>
      <c r="I117" s="40" t="s">
        <v>426</v>
      </c>
      <c r="J117" s="21"/>
      <c r="K117" s="17" t="s">
        <v>581</v>
      </c>
      <c r="L117" s="17"/>
      <c r="M117" s="17"/>
      <c r="N117" s="17" t="s">
        <v>628</v>
      </c>
    </row>
    <row r="118" hidden="1">
      <c r="A118" s="10" t="s">
        <v>631</v>
      </c>
      <c r="B118" s="12" t="s">
        <v>573</v>
      </c>
      <c r="C118" s="10" t="s">
        <v>97</v>
      </c>
      <c r="D118" s="10" t="s">
        <v>626</v>
      </c>
      <c r="E118" s="10" t="s">
        <v>632</v>
      </c>
      <c r="F118" s="10" t="s">
        <v>576</v>
      </c>
      <c r="G118" s="13" t="s">
        <v>45</v>
      </c>
      <c r="H118" s="13" t="s">
        <v>65</v>
      </c>
      <c r="I118" s="38" t="s">
        <v>426</v>
      </c>
      <c r="J118" s="15"/>
      <c r="K118" s="10" t="s">
        <v>584</v>
      </c>
      <c r="L118" s="10"/>
      <c r="M118" s="10"/>
      <c r="N118" s="10" t="s">
        <v>628</v>
      </c>
    </row>
    <row r="119" ht="15.75" customHeight="1"/>
    <row r="120" ht="15.75" customHeight="1">
      <c r="A120" s="23" t="s">
        <v>130</v>
      </c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N$118">
    <filterColumn colId="7">
      <filters>
        <filter val="Lucas"/>
      </filters>
    </filterColumn>
  </autoFilter>
  <mergeCells count="3">
    <mergeCell ref="A1:N1"/>
    <mergeCell ref="A2:N2"/>
    <mergeCell ref="A120:N120"/>
  </mergeCells>
  <dataValidations>
    <dataValidation type="list" allowBlank="1" sqref="G4:G118">
      <formula1>"Alta,Média,Baixa"</formula1>
    </dataValidation>
    <dataValidation type="list" allowBlank="1" sqref="I4:I118">
      <formula1>"NÃO EXECUTADO,OK,FALHA,BLOQUEADO"</formula1>
    </dataValidation>
    <dataValidation type="list" allowBlank="1" sqref="H4:H118">
      <formula1>"Ademar,Lucas,Messyas,Equipe"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95A8B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3" width="24.0"/>
    <col customWidth="1" min="4" max="4" width="30.0"/>
    <col customWidth="1" min="5" max="5" width="18.0"/>
    <col customWidth="1" min="6" max="7" width="12.0"/>
    <col customWidth="1" min="8" max="8" width="14.0"/>
    <col customWidth="1" min="9" max="9" width="12.0"/>
    <col customWidth="1" min="10" max="10" width="40.0"/>
    <col customWidth="1" min="11" max="11" width="52.0"/>
    <col customWidth="1" min="12" max="26" width="8.71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2</v>
      </c>
    </row>
    <row r="3">
      <c r="A3" s="5" t="s">
        <v>4</v>
      </c>
      <c r="B3" s="5" t="s">
        <v>5</v>
      </c>
      <c r="C3" s="5" t="s">
        <v>6</v>
      </c>
      <c r="D3" s="5" t="s">
        <v>7</v>
      </c>
      <c r="E3" s="5" t="s">
        <v>8</v>
      </c>
      <c r="F3" s="5" t="s">
        <v>9</v>
      </c>
      <c r="G3" s="5" t="s">
        <v>10</v>
      </c>
      <c r="H3" s="5" t="s">
        <v>11</v>
      </c>
      <c r="I3" s="5" t="s">
        <v>13</v>
      </c>
      <c r="J3" s="5" t="s">
        <v>14</v>
      </c>
      <c r="K3" s="5" t="s">
        <v>15</v>
      </c>
    </row>
    <row r="4" ht="45.0" customHeight="1">
      <c r="A4" s="7" t="s">
        <v>16</v>
      </c>
      <c r="B4" s="7" t="s">
        <v>17</v>
      </c>
      <c r="C4" s="7" t="s">
        <v>19</v>
      </c>
      <c r="D4" s="7" t="s">
        <v>20</v>
      </c>
      <c r="E4" s="7" t="s">
        <v>21</v>
      </c>
      <c r="F4" s="8" t="s">
        <v>24</v>
      </c>
      <c r="G4" s="8" t="s">
        <v>25</v>
      </c>
      <c r="H4" s="8" t="s">
        <v>26</v>
      </c>
      <c r="I4" s="9" t="s">
        <v>27</v>
      </c>
      <c r="J4" s="7" t="s">
        <v>29</v>
      </c>
      <c r="K4" s="7" t="s">
        <v>30</v>
      </c>
    </row>
    <row r="5" ht="45.0" customHeight="1">
      <c r="A5" s="7" t="s">
        <v>32</v>
      </c>
      <c r="B5" s="7" t="s">
        <v>33</v>
      </c>
      <c r="C5" s="7" t="s">
        <v>19</v>
      </c>
      <c r="D5" s="7" t="s">
        <v>35</v>
      </c>
      <c r="E5" s="7" t="s">
        <v>36</v>
      </c>
      <c r="F5" s="8" t="s">
        <v>24</v>
      </c>
      <c r="G5" s="8" t="s">
        <v>25</v>
      </c>
      <c r="H5" s="8" t="s">
        <v>26</v>
      </c>
      <c r="I5" s="9" t="s">
        <v>27</v>
      </c>
      <c r="J5" s="7" t="s">
        <v>39</v>
      </c>
      <c r="K5" s="7" t="s">
        <v>40</v>
      </c>
    </row>
    <row r="6" ht="45.0" customHeight="1">
      <c r="A6" s="7" t="s">
        <v>41</v>
      </c>
      <c r="B6" s="7" t="s">
        <v>42</v>
      </c>
      <c r="C6" s="7" t="s">
        <v>19</v>
      </c>
      <c r="D6" s="7" t="s">
        <v>43</v>
      </c>
      <c r="E6" s="7" t="s">
        <v>44</v>
      </c>
      <c r="F6" s="8" t="s">
        <v>45</v>
      </c>
      <c r="G6" s="8" t="s">
        <v>25</v>
      </c>
      <c r="H6" s="8" t="s">
        <v>46</v>
      </c>
      <c r="I6" s="11" t="s">
        <v>47</v>
      </c>
      <c r="J6" s="7" t="s">
        <v>49</v>
      </c>
      <c r="K6" s="7" t="s">
        <v>50</v>
      </c>
    </row>
    <row r="7" ht="45.0" customHeight="1">
      <c r="A7" s="7" t="s">
        <v>51</v>
      </c>
      <c r="B7" s="7" t="s">
        <v>52</v>
      </c>
      <c r="C7" s="7" t="s">
        <v>19</v>
      </c>
      <c r="D7" s="7" t="s">
        <v>53</v>
      </c>
      <c r="E7" s="7" t="s">
        <v>54</v>
      </c>
      <c r="F7" s="8" t="s">
        <v>24</v>
      </c>
      <c r="G7" s="8" t="s">
        <v>25</v>
      </c>
      <c r="H7" s="8" t="s">
        <v>26</v>
      </c>
      <c r="I7" s="9" t="s">
        <v>27</v>
      </c>
      <c r="J7" s="7" t="s">
        <v>56</v>
      </c>
      <c r="K7" s="7" t="s">
        <v>57</v>
      </c>
    </row>
    <row r="8" ht="45.0" customHeight="1">
      <c r="A8" s="7" t="s">
        <v>59</v>
      </c>
      <c r="B8" s="7" t="s">
        <v>60</v>
      </c>
      <c r="C8" s="7" t="s">
        <v>61</v>
      </c>
      <c r="D8" s="7" t="s">
        <v>63</v>
      </c>
      <c r="E8" s="7" t="s">
        <v>64</v>
      </c>
      <c r="F8" s="8" t="s">
        <v>24</v>
      </c>
      <c r="G8" s="8" t="s">
        <v>25</v>
      </c>
      <c r="H8" s="8" t="s">
        <v>65</v>
      </c>
      <c r="I8" s="9" t="s">
        <v>27</v>
      </c>
      <c r="J8" s="7" t="s">
        <v>66</v>
      </c>
      <c r="K8" s="7" t="s">
        <v>67</v>
      </c>
    </row>
    <row r="9" ht="45.0" customHeight="1">
      <c r="A9" s="7" t="s">
        <v>68</v>
      </c>
      <c r="B9" s="7" t="s">
        <v>69</v>
      </c>
      <c r="C9" s="7" t="s">
        <v>70</v>
      </c>
      <c r="D9" s="7" t="s">
        <v>71</v>
      </c>
      <c r="E9" s="7" t="s">
        <v>72</v>
      </c>
      <c r="F9" s="8" t="s">
        <v>45</v>
      </c>
      <c r="G9" s="8" t="s">
        <v>73</v>
      </c>
      <c r="H9" s="8" t="s">
        <v>26</v>
      </c>
      <c r="I9" s="9" t="s">
        <v>27</v>
      </c>
      <c r="J9" s="7" t="s">
        <v>74</v>
      </c>
      <c r="K9" s="7" t="s">
        <v>76</v>
      </c>
    </row>
    <row r="10" ht="45.0" customHeight="1">
      <c r="A10" s="7" t="s">
        <v>77</v>
      </c>
      <c r="B10" s="7" t="s">
        <v>78</v>
      </c>
      <c r="C10" s="7" t="s">
        <v>79</v>
      </c>
      <c r="D10" s="7" t="s">
        <v>80</v>
      </c>
      <c r="E10" s="7" t="s">
        <v>81</v>
      </c>
      <c r="F10" s="8" t="s">
        <v>82</v>
      </c>
      <c r="G10" s="8" t="s">
        <v>83</v>
      </c>
      <c r="H10" s="8" t="s">
        <v>26</v>
      </c>
      <c r="I10" s="9" t="s">
        <v>27</v>
      </c>
      <c r="J10" s="7" t="s">
        <v>84</v>
      </c>
      <c r="K10" s="7" t="s">
        <v>85</v>
      </c>
    </row>
    <row r="11" ht="45.0" customHeight="1">
      <c r="A11" s="7" t="s">
        <v>86</v>
      </c>
      <c r="B11" s="7" t="s">
        <v>87</v>
      </c>
      <c r="C11" s="7" t="s">
        <v>88</v>
      </c>
      <c r="D11" s="7" t="s">
        <v>89</v>
      </c>
      <c r="E11" s="7" t="s">
        <v>90</v>
      </c>
      <c r="F11" s="8" t="s">
        <v>45</v>
      </c>
      <c r="G11" s="8" t="s">
        <v>73</v>
      </c>
      <c r="H11" s="8" t="s">
        <v>65</v>
      </c>
      <c r="I11" s="9" t="s">
        <v>27</v>
      </c>
      <c r="J11" s="7" t="s">
        <v>93</v>
      </c>
      <c r="K11" s="7" t="s">
        <v>94</v>
      </c>
    </row>
    <row r="12" ht="45.0" customHeight="1">
      <c r="A12" s="7" t="s">
        <v>95</v>
      </c>
      <c r="B12" s="7" t="s">
        <v>96</v>
      </c>
      <c r="C12" s="7" t="s">
        <v>97</v>
      </c>
      <c r="D12" s="7" t="s">
        <v>98</v>
      </c>
      <c r="E12" s="7" t="s">
        <v>99</v>
      </c>
      <c r="F12" s="8" t="s">
        <v>24</v>
      </c>
      <c r="G12" s="8" t="s">
        <v>25</v>
      </c>
      <c r="H12" s="8" t="s">
        <v>26</v>
      </c>
      <c r="I12" s="9" t="s">
        <v>27</v>
      </c>
      <c r="J12" s="7" t="s">
        <v>100</v>
      </c>
      <c r="K12" s="7" t="s">
        <v>101</v>
      </c>
    </row>
    <row r="13" ht="45.0" customHeight="1">
      <c r="A13" s="7" t="s">
        <v>102</v>
      </c>
      <c r="B13" s="7" t="s">
        <v>87</v>
      </c>
      <c r="C13" s="7" t="s">
        <v>103</v>
      </c>
      <c r="D13" s="7" t="s">
        <v>104</v>
      </c>
      <c r="E13" s="7" t="s">
        <v>105</v>
      </c>
      <c r="F13" s="8" t="s">
        <v>24</v>
      </c>
      <c r="G13" s="8" t="s">
        <v>25</v>
      </c>
      <c r="H13" s="8" t="s">
        <v>65</v>
      </c>
      <c r="I13" s="9" t="s">
        <v>27</v>
      </c>
      <c r="J13" s="7" t="s">
        <v>107</v>
      </c>
      <c r="K13" s="7" t="s">
        <v>109</v>
      </c>
    </row>
    <row r="14" ht="45.0" customHeight="1">
      <c r="A14" s="7" t="s">
        <v>110</v>
      </c>
      <c r="B14" s="7" t="s">
        <v>111</v>
      </c>
      <c r="C14" s="7" t="s">
        <v>70</v>
      </c>
      <c r="D14" s="7" t="s">
        <v>113</v>
      </c>
      <c r="E14" s="7" t="s">
        <v>114</v>
      </c>
      <c r="F14" s="8" t="s">
        <v>24</v>
      </c>
      <c r="G14" s="8" t="s">
        <v>25</v>
      </c>
      <c r="H14" s="8" t="s">
        <v>46</v>
      </c>
      <c r="I14" s="11" t="s">
        <v>47</v>
      </c>
      <c r="J14" s="7" t="s">
        <v>115</v>
      </c>
      <c r="K14" s="7" t="s">
        <v>116</v>
      </c>
    </row>
    <row r="15" ht="45.0" customHeight="1">
      <c r="A15" s="7" t="s">
        <v>117</v>
      </c>
      <c r="B15" s="7" t="s">
        <v>118</v>
      </c>
      <c r="C15" s="7" t="s">
        <v>119</v>
      </c>
      <c r="D15" s="7" t="s">
        <v>120</v>
      </c>
      <c r="E15" s="7" t="s">
        <v>121</v>
      </c>
      <c r="F15" s="8" t="s">
        <v>82</v>
      </c>
      <c r="G15" s="8" t="s">
        <v>83</v>
      </c>
      <c r="H15" s="8" t="s">
        <v>26</v>
      </c>
      <c r="I15" s="9" t="s">
        <v>27</v>
      </c>
      <c r="J15" s="7" t="s">
        <v>122</v>
      </c>
      <c r="K15" s="7" t="s">
        <v>123</v>
      </c>
    </row>
    <row r="16" ht="45.0" customHeight="1">
      <c r="A16" s="7" t="s">
        <v>124</v>
      </c>
      <c r="B16" s="7" t="s">
        <v>125</v>
      </c>
      <c r="C16" s="7" t="s">
        <v>119</v>
      </c>
      <c r="D16" s="7" t="s">
        <v>126</v>
      </c>
      <c r="E16" s="7" t="s">
        <v>121</v>
      </c>
      <c r="F16" s="8" t="s">
        <v>45</v>
      </c>
      <c r="G16" s="8" t="s">
        <v>83</v>
      </c>
      <c r="H16" s="8" t="s">
        <v>26</v>
      </c>
      <c r="I16" s="9" t="s">
        <v>27</v>
      </c>
      <c r="J16" s="7" t="s">
        <v>128</v>
      </c>
      <c r="K16" s="7" t="s">
        <v>129</v>
      </c>
    </row>
    <row r="18">
      <c r="A18" s="23" t="s">
        <v>130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2:K2"/>
    <mergeCell ref="A18:K18"/>
  </mergeCells>
  <dataValidations>
    <dataValidation type="list" allowBlank="1" sqref="G4:G16">
      <formula1>"P1,P2,P3"</formula1>
    </dataValidation>
    <dataValidation type="list" allowBlank="1" sqref="F4:F16">
      <formula1>"Alta,Média,Baixa"</formula1>
    </dataValidation>
    <dataValidation type="list" allowBlank="1" sqref="I4:I16">
      <formula1>"Aberto,Em andamento,Validado,Resolvido,Descartado"</formula1>
    </dataValidation>
    <dataValidation type="list" allowBlank="1" sqref="H4:H16">
      <formula1>"Ademar,Lucas,Messyas,Equipe"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2026-07-28T02:12:56Z</dcterms:created>
  <dc:creator>openpyxl</dc:creator>
</cp:coreProperties>
</file>